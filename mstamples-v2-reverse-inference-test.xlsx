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jagb\Downloads\"/>
    </mc:Choice>
  </mc:AlternateContent>
  <xr:revisionPtr revIDLastSave="0" documentId="13_ncr:1_{8A52B9F2-E46A-4DE3-9A5B-ECA210E170B9}" xr6:coauthVersionLast="47" xr6:coauthVersionMax="47" xr10:uidLastSave="{00000000-0000-0000-0000-000000000000}"/>
  <bookViews>
    <workbookView xWindow="-108" yWindow="-108" windowWidth="23256" windowHeight="13896" activeTab="1" xr2:uid="{00000000-000D-0000-FFFF-FFFF00000000}"/>
  </bookViews>
  <sheets>
    <sheet name="Method" sheetId="1" r:id="rId1"/>
    <sheet name="Workflow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alcChain>
</file>

<file path=xl/sharedStrings.xml><?xml version="1.0" encoding="utf-8"?>
<sst xmlns="http://schemas.openxmlformats.org/spreadsheetml/2006/main" count="1251" uniqueCount="375">
  <si>
    <t>Reverse-inference test dataset</t>
  </si>
  <si>
    <t>Measure</t>
  </si>
  <si>
    <t>Count</t>
  </si>
  <si>
    <t>Method item</t>
  </si>
  <si>
    <t>Description</t>
  </si>
  <si>
    <t>Records</t>
  </si>
  <si>
    <t>Purpose</t>
  </si>
  <si>
    <t>Synthetic backward inference for academic decision-workflow testing only</t>
  </si>
  <si>
    <t>Source observations retained</t>
  </si>
  <si>
    <t>Inference inputs</t>
  </si>
  <si>
    <t>Medication Tried and/or Procedure only</t>
  </si>
  <si>
    <t>Synthetic observations generated</t>
  </si>
  <si>
    <t>Observed values</t>
  </si>
  <si>
    <t>Retained unchanged in the original physical-exam field</t>
  </si>
  <si>
    <t>No eligible inference basis</t>
  </si>
  <si>
    <t>Workflow field</t>
  </si>
  <si>
    <t>Uses the source observation when present; otherwise uses a clearly labeled synthetic inference</t>
  </si>
  <si>
    <t>High-confidence synthetic values</t>
  </si>
  <si>
    <t>Known limitation</t>
  </si>
  <si>
    <t>The target observation is derived from the eventual action, creating deliberate target leakage and circularity</t>
  </si>
  <si>
    <t>Medium-confidence synthetic values</t>
  </si>
  <si>
    <t>Appropriate use</t>
  </si>
  <si>
    <t>Pipeline testing, demonstrations, and sensitivity analysis</t>
  </si>
  <si>
    <t>Low-confidence synthetic values</t>
  </si>
  <si>
    <t>Inappropriate use</t>
  </si>
  <si>
    <t>Clinical inference, model validation, predictive-performance claims, or patient care</t>
  </si>
  <si>
    <t>Record ID</t>
  </si>
  <si>
    <t>Patient Description (Age, Sex)</t>
  </si>
  <si>
    <t>Family History</t>
  </si>
  <si>
    <t>Complaint(s)</t>
  </si>
  <si>
    <t>Medication Tried</t>
  </si>
  <si>
    <t>Physical Exam Observations (Nose/Mouth/Eyes, Chest, Abdomen, Other)</t>
  </si>
  <si>
    <t>Diagnosis/Condition</t>
  </si>
  <si>
    <t>Procedure</t>
  </si>
  <si>
    <t>Clinical Narrative</t>
  </si>
  <si>
    <t>Workflow Observation</t>
  </si>
  <si>
    <t>Observation Provenance</t>
  </si>
  <si>
    <t>Reverse-Inference Confidence</t>
  </si>
  <si>
    <t>Synthetic Data Warning</t>
  </si>
  <si>
    <t>23-year-old female</t>
  </si>
  <si>
    <t>Not specified</t>
  </si>
  <si>
    <t>Seasonal allergies, worsening allergy symptoms</t>
  </si>
  <si>
    <t>Claritin, Zyrtec, Allegra, OTC nasal sprays</t>
  </si>
  <si>
    <t>Nose: Nasal mucosa erythematous and swollen with clear drainage. Mouth/Throat: Mild throat erythema without exudate. Chest/Lungs: Clear. Other: Neck supple, no adenopathy.</t>
  </si>
  <si>
    <t>Seasonal allergic rhinitis</t>
  </si>
  <si>
    <t>Observed/source field</t>
  </si>
  <si>
    <t>Not applicable</t>
  </si>
  <si>
    <t>No</t>
  </si>
  <si>
    <t>Male, age not specified</t>
  </si>
  <si>
    <t>Heart disease in both grandfathers; grandmother with stroke; grandmother with diabetes</t>
  </si>
  <si>
    <t>Morbid obesity-related functional limitations, snoring, joint pain, GERD, difficulty walking and climbing stairs</t>
  </si>
  <si>
    <t>None reported</t>
  </si>
  <si>
    <t>Physical examination findings not documented in available section</t>
  </si>
  <si>
    <t>Not generated — no medication or procedure was available as an inference basis.</t>
  </si>
  <si>
    <t>Yes — no value generated</t>
  </si>
  <si>
    <t>42-year-old male</t>
  </si>
  <si>
    <t>Obesity, heart disease, diabetes; negative for hypertension and stroke</t>
  </si>
  <si>
    <t>Morbid obesity, fatigue, limited exercise tolerance, diabetes, hypertension, hyperlipidemia, sleep apnea, joint pain</t>
  </si>
  <si>
    <t>Diovan, Crestor, Tricor</t>
  </si>
  <si>
    <t>The medication list is consistent with treated hypertension or cardiovascular disease; the current blood pressure and examination findings cannot be recovered from medication use alone.</t>
  </si>
  <si>
    <t>Reverse-inferred from medication</t>
  </si>
  <si>
    <t>Low</t>
  </si>
  <si>
    <t>Yes — synthetic test value</t>
  </si>
  <si>
    <t>Patient age/sex not specified</t>
  </si>
  <si>
    <t>Not specified (cardiac evaluation)</t>
  </si>
  <si>
    <t>Cardiac ultrasound findings: left atrial enlargement; normal ventricular size and systolic function; mild valvular regurgitation</t>
  </si>
  <si>
    <t>Left atrial enlargement; mild valvular regurgitation</t>
  </si>
  <si>
    <t>Echocardiographic findings: mild left atrial dilation, mild aortic stenosis, mild mitral regurgitation, moderate pulmonary hypertension, patent foramen ovale suspected</t>
  </si>
  <si>
    <t>Mild left atrial dilation; mild aortic stenosis; mild mitral regurgitation; moderate pulmonary hypertension; possible patent foramen ovale</t>
  </si>
  <si>
    <t>30-year-old, sex not specified</t>
  </si>
  <si>
    <t>Morbid obesity</t>
  </si>
  <si>
    <t>Laparoscopic antecolic, antegastric Roux-en-Y gastric bypass with EEA anastomosis</t>
  </si>
  <si>
    <t>Body habitus consistent with clinically significant obesity; abdominal examination otherwise suitable for the planned bariatric intervention.</t>
  </si>
  <si>
    <t>Reverse-inferred from procedure</t>
  </si>
  <si>
    <t>Medium</t>
  </si>
  <si>
    <t>31-year-old, sex not specified</t>
  </si>
  <si>
    <t>1. Deformity right breast reconstruction. 2. Excess soft tissue anterior abdomen and flank. 3. Lipodystrophy of the abdomen</t>
  </si>
  <si>
    <t>Revision of right breast reconstruction</t>
  </si>
  <si>
    <t>Visible or palpable asymmetry/deformity of the reconstructed breast with excess adjacent soft tissue.</t>
  </si>
  <si>
    <t>High</t>
  </si>
  <si>
    <t>2-D echocardiogram</t>
  </si>
  <si>
    <t>Cardiac evaluation suggests a murmur, abnormal heart sounds, or another cardiovascular finding warranting echocardiography; the exact finding cannot be recovered from the procedure alone.</t>
  </si>
  <si>
    <t>Lipodystrophy of the abdomen and thighs</t>
  </si>
  <si>
    <t>Suction-assisted lipectomy</t>
  </si>
  <si>
    <t>Localized excess subcutaneous adipose tissue and contour irregularity in the planned treatment area.</t>
  </si>
  <si>
    <t>Normal left ventricular systolic function; estimated ejection fraction approximately 60%</t>
  </si>
  <si>
    <t>Echocardiogram with Doppler</t>
  </si>
  <si>
    <t>50-year-old, sex not specified</t>
  </si>
  <si>
    <t>Laparoscopic antecolic, antegastric Roux-en-Y gastric bypass with 25-mm EEA anastomosis and esophagogastroduodenoscopy</t>
  </si>
  <si>
    <t>Moderate biatrial enlargement; mild tricuspid regurgitation; mildly increased right-heart pressures</t>
  </si>
  <si>
    <t>Moyamoya disease</t>
  </si>
  <si>
    <t>Cerebral angiogram</t>
  </si>
  <si>
    <t>Neurologic or cerebrovascular findings raise concern for intracranial arterial narrowing or collateral-vessel disease; no unique physical finding can be determined from angiography alone.</t>
  </si>
  <si>
    <t>56-year-old female</t>
  </si>
  <si>
    <t>Seeking bariatric surgery for morbid obesity and related comorbidities</t>
  </si>
  <si>
    <t>Crestor 20 mg p.o. daily hydrochlorothiazide 20 mg p.o. daily Veramist spray 27.5 mcg daily Restasis twice a day and ibuprofen two to three times a day</t>
  </si>
  <si>
    <t>Morbid obesity (BMI 41) with obesity-related comorbidities</t>
  </si>
  <si>
    <t>Planned laparoscopic Roux-en-Y gastric bypass</t>
  </si>
  <si>
    <t>Patient presented to the bariatric surgery service for consideration of laparoscopic roux en Y gastric bypass surgery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t>
  </si>
  <si>
    <t>Completely bony impacted teeth #1, #16, #17, and #32</t>
  </si>
  <si>
    <t>Surgical removal of completely bony impacted teeth #1, #16, #17, and #32</t>
  </si>
  <si>
    <t>Oral examination and dental imaging are consistent with unerupted, completely bony impacted third molars.</t>
  </si>
  <si>
    <t>Morbid obesity; preoperative weight-management evaluation</t>
  </si>
  <si>
    <t>Preoperative visit for laparoscopic gastric banding</t>
  </si>
  <si>
    <t>Tracheal foreign body involving metallic stent material</t>
  </si>
  <si>
    <t>Neck exploration; tracheostomy; urgent flexible bronchoscopy; removal of tracheal stent material; distal-tracheal dilation; tracheostomy-tube placement</t>
  </si>
  <si>
    <t>Neck exploration; tracheostomy; urgent flexible bronchoscopy via tracheostomy site; removal of foreign body, tracheal metallic stent material; dilation distal trachea; placement of #8 Shiley single cannula tracheostomy tube</t>
  </si>
  <si>
    <t>Airway examination is consistent with significant obstruction or compromised airflow, potentially including respiratory distress, stridor, or an airway foreign body.</t>
  </si>
  <si>
    <t>Female, age not specified</t>
  </si>
  <si>
    <t>Follow-up for laparoscopic gastric-band adjustment</t>
  </si>
  <si>
    <t>Status post laparoscopic gastric banding; band fill of 7 mL</t>
  </si>
  <si>
    <t>Laparoscopic gastric-band adjustment</t>
  </si>
  <si>
    <t>The patient is status post lap band adjustments doing well has a total of 7 mL within her band tolerated water postprocedure. She will come back in two weeks for another adjustment as needed</t>
  </si>
  <si>
    <t>34-year-old male</t>
  </si>
  <si>
    <t>Desires elective sterilization</t>
  </si>
  <si>
    <t>Desire for elective sterilization</t>
  </si>
  <si>
    <t>Bilateral vasectomy</t>
  </si>
  <si>
    <t>Anesthesia is local with conscious sedation</t>
  </si>
  <si>
    <t>External genital examination is adequate for an elective vasectomy, with both vasa deferentia expected to be palpable; no abnormal finding is required.</t>
  </si>
  <si>
    <t>17-year-old female</t>
  </si>
  <si>
    <t>Foreign body with airway compromise</t>
  </si>
  <si>
    <t>Prevacid Humulin Diprivan Proventil Unasyn and Solu-Medrol</t>
  </si>
  <si>
    <t>Airway foreign body with airway compromise</t>
  </si>
  <si>
    <t>Emergency intubation</t>
  </si>
  <si>
    <t>The patient is a 17-year-old female, who presents to the emergency room with foreign body and airway compromise and was taken to the operating room. She was intubated and fishbone</t>
  </si>
  <si>
    <t>Prostate Cancer</t>
  </si>
  <si>
    <t>Whole-body radionuclide bone scan</t>
  </si>
  <si>
    <t>No specific physical-examination finding can be inferred from a staging bone scan; focal bony tenderness may or may not be present.</t>
  </si>
  <si>
    <t>Morbid obesity; status post laparoscopic Roux-en-Y gastric bypass</t>
  </si>
  <si>
    <t>Laparoscopic Roux-en-Y gastric bypass</t>
  </si>
  <si>
    <t>Patient discharged after laparoscopic Roux-en-Y gastric bypass</t>
  </si>
  <si>
    <t>Vasectomy</t>
  </si>
  <si>
    <t>Hematuria</t>
  </si>
  <si>
    <t>Transitional cell carcinoma of the bladder</t>
  </si>
  <si>
    <t>Through a midline scrotal incision the right vas was identified and separated from the surrounding tissues clamped transected and tied off with a 4-0 chromic. No bleeding was identified</t>
  </si>
  <si>
    <t>67-year-old, sex not specified</t>
  </si>
  <si>
    <t>Difficulty voiding</t>
  </si>
  <si>
    <t>Cystourethroscopy and transurethral resection of the prostate</t>
  </si>
  <si>
    <t>Lower urinary tract evaluation is consistent with bladder-outlet obstruction, such as an enlarged prostate and impaired urinary flow.</t>
  </si>
  <si>
    <t>Umbilical hernia repair</t>
  </si>
  <si>
    <t>Examination is consistent with a palpable inguinal or umbilical bulge that may enlarge with cough or Valsalva and may be reducible.</t>
  </si>
  <si>
    <t>Interested in sperm harvesting and cryopreservation after failed vasectomy and reversal</t>
  </si>
  <si>
    <t>Failed vasectomy with azoospermia; status post reversal</t>
  </si>
  <si>
    <t>The patient was brought to the suite where after oral sedation the scrotum was prepped and draped. Then 1% lidocaine was used for anesthesia</t>
  </si>
  <si>
    <t>Urinary retention after vaginal reconstruction; concern for vaginal prolapse</t>
  </si>
  <si>
    <t>Postoperative urinary retention; concern for vaginal prolapse; possible ascites with lower-extremity edema</t>
  </si>
  <si>
    <t>1. The patient noted for improving retention of urine postop vaginal reconstruction very concerned of possible vaginal prolapse especially while using the cream. 2. Rule out ascites with no GI issues other than lower extremity edema</t>
  </si>
  <si>
    <t>66-year-old male</t>
  </si>
  <si>
    <t>Recurrent urinary retention</t>
  </si>
  <si>
    <t>1. Norvasc. 2. Toprol 50 mg. 3. Clonidine 0.2 mg. 4. Hydralazine. 5. Flomax. 6. Allopurinol. 7. Sodium bicarbonate. 8. Oxybutynin. 9. Coumadin. 10. Aspirin. 11. Insulin 70/30. 12. Omeprazole. 13. Rapamune. 14. CellCept. 15. Prednisone. 16. Ganciclovir. 17. Nystatin swish and swallow. 18. Dapsone. 19. Finasteride</t>
  </si>
  <si>
    <t>Benign prostatic hyperplasia with recurrent urinary retention</t>
  </si>
  <si>
    <t>This is a 66-year-old male with signs and symptoms of benign prostatic hypertrophy, who has had recurrent urinary retention since his kidney transplant. He passed his fill and pull study and was thought to self-catheterize in the event that he does incur urinary retention again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</si>
  <si>
    <t>Clinical assessment is consistent with lower urinary tract dysfunction, such as impaired flow, retention, urgency, or frequency; a unique physical finding cannot be inferred from these medications alone.</t>
  </si>
  <si>
    <t>1. Coumadin 3 mg daily. 2. Fosamax. 3. Viagra p.r.n</t>
  </si>
  <si>
    <t>Right distal ureteral calculus (1 cm, nonobstructing)</t>
  </si>
  <si>
    <t>Right distal ureteral calculus. The patient had hematuria and a CT urogram showing a 1 cm non-obstructing calcification in the right distal ureter</t>
  </si>
  <si>
    <t>Antithrombotic therapy implies a bleeding-risk or cardiovascular indication, but no specific physical-examination finding can be inferred.</t>
  </si>
  <si>
    <t>Umbilical hernia</t>
  </si>
  <si>
    <t>Umbilical hernia repair. A standard curvilinear umbilical incision was made, and dissection was carried down to the hernia sac using a combination of Metzenbaum scissors and Bovie electrocautery After informed consent was obtained the patient was brought to the operative suite and placed supine on the operating table. The patient was sedated and an adequate local anesthetic was administered using 1% lidocaine without epinephrine</t>
  </si>
  <si>
    <t>55-year-old, sex unclear</t>
  </si>
  <si>
    <t>Persistent urinary frequency and urgency</t>
  </si>
  <si>
    <t>Neurogenic bladder with persistent urinary frequency and urgency; history of stroke</t>
  </si>
  <si>
    <t>Persistent frequency and urgency in a patient with a history of neurogenic bladder and history of stroke. This has not improved on VESIcare as well as Enablex. Options are discussed. We discussed other options of pelvic floor rehabilitation InterStim by Dr. X as well as more invasive procedure. The patient and the power of attorney would like him to proceed with meeting Dr. X to discuss InterStim which was briefly reviewed here today and brochure for this is provided today. Prior to discussion the nursing home will do an extensive voiding diary for one week while she is on Enablex and if this reveals no improvement the patient will be started on Ventura twice daily and prescription is provided. They will see Dr. X with a prior voiding diary which is again discussed. All questions answered</t>
  </si>
  <si>
    <t>Scrotal pain</t>
  </si>
  <si>
    <t>Trace bilateral hydroceles</t>
  </si>
  <si>
    <t>Scrotal ultrasound with duplex, color-flow, and gray-scale imaging</t>
  </si>
  <si>
    <t>Ultrasound examination of the scrotum due to scrotal pain. Duplex and color flow imaging as well as real time gray-scale imaging of the scrotum and testicles was performed</t>
  </si>
  <si>
    <t>Scrotal examination is consistent with pain, swelling, tenderness, or an abnormal palpable scrotal finding prompting ultrasound.</t>
  </si>
  <si>
    <t>74-year-old, sex not specified</t>
  </si>
  <si>
    <t>Bladder tumor</t>
  </si>
  <si>
    <t>Transurethral resection of a medium bladder tumor (TURBT), left lateral wall</t>
  </si>
  <si>
    <t>Urinary evaluation is consistent with hematuria or a suspected bladder/urethral lesion; a definitive lesion would be observed endoscopically rather than on routine physical examination.</t>
  </si>
  <si>
    <t>77-year-old male</t>
  </si>
  <si>
    <t>Benign prostatic hyperplasia</t>
  </si>
  <si>
    <t>The patient was identified after which he was taken into the operating room. General LMA anesthesia was then administered</t>
  </si>
  <si>
    <t>82-year-old, sex not specified</t>
  </si>
  <si>
    <t>Bladder cancer</t>
  </si>
  <si>
    <t>Transurethral resection of a large bladder tumor (TURBT)</t>
  </si>
  <si>
    <t>4-year-old male</t>
  </si>
  <si>
    <t>Testicular pain</t>
  </si>
  <si>
    <t>Possible testicular torsion-detorsion or other acute testicular condition</t>
  </si>
  <si>
    <t>The patient has a possibly torsion detorsion versus other acute testicular problem</t>
  </si>
  <si>
    <t>59-year-old male</t>
  </si>
  <si>
    <t>Clinical stage Ta Nx Mx transitional cell carcinoma of the urinary bladder</t>
  </si>
  <si>
    <t>Cystoscopy (operative note; complete procedure name not available)</t>
  </si>
  <si>
    <t>The patient was brought to the cystoscopy suite and after adequate general laryngeal mask anesthesia obtained placed in the dorsal lithotomy position and his perineum and genitalia were sterilely prepped and draped in usual fashion. He had been given oral ciprofloxacin for</t>
  </si>
  <si>
    <t>48-year-old, sex not specified</t>
  </si>
  <si>
    <t>1. Left spermatocele. 2. Family planning</t>
  </si>
  <si>
    <t>Left spermatocelectomy/epididymectomy</t>
  </si>
  <si>
    <t>Scrotal examination is consistent with a palpable, cystic epididymal or paratesticular mass.</t>
  </si>
  <si>
    <t>Left testicular swelling for one day</t>
  </si>
  <si>
    <t>1. Hypervascularity of the left epididymis compatible with left epididymitis. 2. Bilateral hydroceles</t>
  </si>
  <si>
    <t>Testicular ultrasound</t>
  </si>
  <si>
    <t>65-year-old male</t>
  </si>
  <si>
    <t>1. Radiation cystitis. 2. Refractory voiding dysfunction. 3. Status post radical retropubic prostatectomy and subsequent salvage radiation therapy</t>
  </si>
  <si>
    <t>1. Radiation cystitis. 2. Refractory voiding dysfunction. 3. Status post radical retropubic prostatectomy and subsequent salvage radiation therapy The patient was brought to the operative suite and after adequate general endotracheal and epidural anesthesia obtained placed in the supine position flexed over the anterosuperior iliac spine and his abdomen and genitalia were sterilely prepped and draped in the usual fashion</t>
  </si>
  <si>
    <t>77-year-old, sex not specified</t>
  </si>
  <si>
    <t>Right spermatocele</t>
  </si>
  <si>
    <t>Right spermatocelectomy</t>
  </si>
  <si>
    <t>Stress urinary incontinence</t>
  </si>
  <si>
    <t>SPARC suburethral sling placement</t>
  </si>
  <si>
    <t>Pelvic examination is consistent with stress urinary leakage during cough or Valsalva, without a required external abnormality.</t>
  </si>
  <si>
    <t>4-year-old, sex not specified</t>
  </si>
  <si>
    <t>Left testicular torsion possibly detorsion</t>
  </si>
  <si>
    <t>Left scrotal exploration and detorsion; bilateral testicular fixation; cautery of bilateral appendix testes</t>
  </si>
  <si>
    <t>Acute scrotal examination is consistent with a painful, tender, abnormally positioned testis and possible swelling.</t>
  </si>
  <si>
    <t>2-year-old, sex not specified</t>
  </si>
  <si>
    <t>Left obstructed renal ureteropelvic junction obstruction status post pyeloplasty percutaneous procedure and pyeloureteroscopy x2 and status post Pseudomonas pyelonephritis x6 renal insufficiency and solitary kidney</t>
  </si>
  <si>
    <t>Cystoscopy under anesthesia; retrograde and antegrade pyeloureteroscopy; open renal exploration</t>
  </si>
  <si>
    <t>Adenocarcinoma of the prostate</t>
  </si>
  <si>
    <t>Robot-assisted radical retropubic prostatectomy and bladder suspension</t>
  </si>
  <si>
    <t>Prostate evaluation is consistent with suspected or confirmed malignancy, potentially including an abnormal digital rectal examination; the procedure alone does not identify the exact examination finding.</t>
  </si>
  <si>
    <t>16-month-old, sex not specified</t>
  </si>
  <si>
    <t>Penile swelling for four days after circumcision</t>
  </si>
  <si>
    <t>Tylenol with Codeine q.6h</t>
  </si>
  <si>
    <t>Pubic cellulitis following circumcision</t>
  </si>
  <si>
    <t>A 16-month-old with history of penile swelling for 4 days, had circumcision 1 week ago</t>
  </si>
  <si>
    <t>Pain or localized tenderness is presumed, but its location and examination characteristics cannot be inferred reliably from analgesic use alone.</t>
  </si>
  <si>
    <t>64-year-old, sex not specified</t>
  </si>
  <si>
    <t>Prostate cancer</t>
  </si>
  <si>
    <t>Epidural anesthesia was administered by the anesthesiologist in the holding area. Preoperative antibiotic was also given in the preoperative holding area</t>
  </si>
  <si>
    <t>Prophylactic antibiotic was given in the preoperative holding area after which the patient was transferred to the operating room. Epidural anesthesia and general endotracheal anesthesia were administered by Dr</t>
  </si>
  <si>
    <t>Follow-up evaluation for chronic prostatitis</t>
  </si>
  <si>
    <t>Bactrim DS one pill a day Proscar 5 mg a day Flomax 0.4 mg daily. He also uses Metamucil four times daily and stool softeners for bedtime</t>
  </si>
  <si>
    <t>Chronic prostatitis</t>
  </si>
  <si>
    <t>A 65-year-old man with chronic prostatitis returns for recheck</t>
  </si>
  <si>
    <t>Localized examination is consistent with infection, such as erythema, warmth, swelling, tenderness, or drainage at the affected site.</t>
  </si>
  <si>
    <t>62-year-old, sex not specified</t>
  </si>
  <si>
    <t>Lisinopril Aspirin Zocor and Prilosec</t>
  </si>
  <si>
    <t>1. Adenocarcinoma of the prostate. 2. Erectile dysfunction</t>
  </si>
  <si>
    <t>Prostate brachytherapy with I-125 implantation</t>
  </si>
  <si>
    <t>Right ureteropelvic junction obstruction</t>
  </si>
  <si>
    <t>Robot-assisted right pyeloplasty with nephrolithotomy</t>
  </si>
  <si>
    <t>The patient was verified by armband and the procedure being robotic-assisted right pyeloplasty with nephrolithotomy was verified and the procedure was carried out. After institution of general endotracheal anesthesia and intravenous preoperative antibiotics the patient was</t>
  </si>
  <si>
    <t>Evaluation is consistent with upper urinary tract obstruction or calculus disease, potentially accompanied by flank tenderness; imaging findings would be more specific than physical examination.</t>
  </si>
  <si>
    <t>Right ureteropelvic junction calculus</t>
  </si>
  <si>
    <t>After consent was obtained the patient was brought to operating room and placed in the supine position. She was given general anesthesia and then placed in the dorsal lithotomy position</t>
  </si>
  <si>
    <t>66-year-old, sex not specified</t>
  </si>
  <si>
    <t>Prostate cancer Gleason score 4+3 with 85% burden and 8/12 cores positive</t>
  </si>
  <si>
    <t>The patient was brought to the operating room here. Time out was taken to properly identify the patient and procedure going to be done</t>
  </si>
  <si>
    <t>Slow ongoing rise in PSA</t>
  </si>
  <si>
    <t>Recurrent Gleason 8 prostate adenocarcinoma with slowly rising PSA after prostate-fossa irradiation</t>
  </si>
  <si>
    <t>The patient returns for followup evaluation 21 months after undergoing prostate fossa irradiation for recurrent Gleason 8 adenocarcinoma. Concerning slow ongoing rise in PSA</t>
  </si>
  <si>
    <t>46-year-old, sex not specified</t>
  </si>
  <si>
    <t>Prostate gland showing moderately differentiated infiltrating adenocarcinoma - Excised prostate including capsule, pelvic lymph nodes, seminal vesicles, and small portion of bladder neck</t>
  </si>
  <si>
    <t>Sextant prostate biopsy; radical prostatectomy with pelvic lymph-node and seminal-vesicle excision</t>
  </si>
  <si>
    <t>Sextant biopsy of the prostate. Radical prostatectomy: Excised prostate including capsule pelvic lymph nodes seminal vesicles and small portion of bladder neck Prostate gland showing moderately differentiated infiltrating adenocarcinoma - Excised prostate including capsule, pelvic lymph nodes, seminal vesicles, and small portion of bladder neck</t>
  </si>
  <si>
    <t>63-year-old, sex not specified</t>
  </si>
  <si>
    <t>Moderately differentiated adenocarcinoma, 1+ enlarged prostate with normal seminal vesicles</t>
  </si>
  <si>
    <t>Ultrasound-guided sextant biopsy of the prostate</t>
  </si>
  <si>
    <t>Ultrasound guided sextant biopsy of prostate: Digital rectal exam performed at the time of the biopsy showed a 1+ enlarged prostate with normal seminal vesicles</t>
  </si>
  <si>
    <t>A procedure-specific abnormality is presumed to have been present, but the exact physical-examination finding cannot be recovered reliably from the procedure name alone.</t>
  </si>
  <si>
    <t>29-year-old male</t>
  </si>
  <si>
    <t>Bleeding bump on the penis</t>
  </si>
  <si>
    <t>Large pedunculated penile mass</t>
  </si>
  <si>
    <t>Patient presents to the Emergency Department with complaint of a bleeding bump on his penis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</si>
  <si>
    <t>64-year-old male</t>
  </si>
  <si>
    <t>Nonfunctioning inflatable penile prosthesis; Peyronie's disease</t>
  </si>
  <si>
    <t>Planned explantation and replacement of inflatable penile prosthesis</t>
  </si>
  <si>
    <t>This is a 64-year-old male with prior history of Peyronie's disease and prior placement of a triple component inflatable penile prosthesis which had worked for years for him but has stopped working and subsequently has opted for ex-plantation and replacement of inflatable penile</t>
  </si>
  <si>
    <t>Genital examination is consistent with an implanted penile prosthesis that does not inflate, deflate, or cycle normally.</t>
  </si>
  <si>
    <t>Penile skin bridges after circumcision</t>
  </si>
  <si>
    <t>Excision of penile skin bridges</t>
  </si>
  <si>
    <t>Genital examination demonstrates visible penile skin adhesions or bridges after circumcision.</t>
  </si>
  <si>
    <t>71-year-old, sex not specified</t>
  </si>
  <si>
    <t>Coumadin and lisinopril</t>
  </si>
  <si>
    <t>1. Adenocarcinoma of the prostate. 2. Atrial fibrillation</t>
  </si>
  <si>
    <t>Adenocarcinoma of the prostate. The patient underwent a transrectal ultrasound and biopsy and was found to have a Gleason 3+4 for a score of 7, 20% of the tissue removed from the left base</t>
  </si>
  <si>
    <t>75-year-old, sex not specified</t>
  </si>
  <si>
    <t>Complete urinary obstruction due to enlarged prostate; adenocarcinoma of the prostate</t>
  </si>
  <si>
    <t>Cystoscopy and transurethral resection of the prostate</t>
  </si>
  <si>
    <t>Cystoscopy: Blockage of the urethra by a markedly enlarged prostate. Transurethral resection of prostate: 45 grams of tissue were sent to the Pathology Department for analysis</t>
  </si>
  <si>
    <t>Moderate to poorly differentiated adenocarcinoma in the right lobe and poorly differentiated tubular adenocarcinoma in the left lobe of prostate</t>
  </si>
  <si>
    <t>Transrectal prostate biopsy; pelvic lymphadenectomy; radical prostatectomy</t>
  </si>
  <si>
    <t>67-year-old male</t>
  </si>
  <si>
    <t>Penile discharge and infected-appearing glans</t>
  </si>
  <si>
    <t>Novolin Afrin Nephro-Vite Neurontin lisinopril furosemide Tums labetolol Plavix nitroglycerin Aricept omeprazole oxycodone Norvasc Renagel and morphine</t>
  </si>
  <si>
    <t>Pale, infected-appearing glans with penile discharge</t>
  </si>
  <si>
    <t>Penile discharge with chronic ischemic changes of the glans</t>
  </si>
  <si>
    <t>A 67-year-old male with multiple comorbidities with penile discharge and pale-appearing glans. It seems that the patient has had multiple catheterizations recently and has history of peripheral vascular disease. I think it is due to chronic ischemic changes</t>
  </si>
  <si>
    <t>18-year-old male</t>
  </si>
  <si>
    <t>Continuous bleeding from a penile laceration</t>
  </si>
  <si>
    <t>Bleeding penile laceration with retained marble beneath shaft skin; no other visible injuries or secondary bacterial infection</t>
  </si>
  <si>
    <t>Penile laceration with retained subcutaneous foreign body</t>
  </si>
  <si>
    <t>The patient with a penile laceration that is continuously bleeding from inserting a marble four days ago which is still underneath the skin of the shaft of the penis. No other injuries that can be seen and no other evidence of secondary bacterial infection at this time. The patient is currently refusing removal of the marble and insisting on just repairing the laceration and he is having discussion with Dr. X</t>
  </si>
  <si>
    <t>16-month-old male</t>
  </si>
  <si>
    <t>Penile swelling, fever, and discharge after circumcision</t>
  </si>
  <si>
    <t>Clindamycin and bacitracin ointment. Also Bactrim</t>
  </si>
  <si>
    <t>Penile cellulitis following circumcision</t>
  </si>
  <si>
    <t>Penile cellulitis status post circumcision The patient is a 16-month-old boy, who had a circumcision performed approximately 4 days before he developed penile swelling and fever and discharge</t>
  </si>
  <si>
    <t>Persistent abdominal pain</t>
  </si>
  <si>
    <t>Abdominal pain; renal scan without evidence of obstruction</t>
  </si>
  <si>
    <t>He continues to have abdominal pain, and he had a diuretic renal scan, which indicates no evidence of obstruction and good differential function bilaterally</t>
  </si>
  <si>
    <t>Adenocarcinoma of the prostate; erectile dysfunction</t>
  </si>
  <si>
    <t>10-year-old, sex not specified</t>
  </si>
  <si>
    <t>Right undescended testicle</t>
  </si>
  <si>
    <t>Operative treatment of right undescended testicle (procedure name not available)</t>
  </si>
  <si>
    <t>The patient was brought to the OR anesthesia was applied. The patient was placed in supine position</t>
  </si>
  <si>
    <t>Persistent overactive-bladder symptoms with microscopic hematuria</t>
  </si>
  <si>
    <t>Mild atrophic vaginitis; no other significant findings documented</t>
  </si>
  <si>
    <t>Overactive bladder with microscopic hematuria and mild atrophic vaginitis</t>
  </si>
  <si>
    <t>Overactive bladder with microscopic hematuria most likely some mild atrophic vaginitis is noted. She has no other significant findings other than her overactive bladder which had continued. At this juncture what I would like to do is try a different anticholinergic medication. She has never had any side effects from her medication</t>
  </si>
  <si>
    <t>15-year-old, sex not specified</t>
  </si>
  <si>
    <t>Phimosis</t>
  </si>
  <si>
    <t>Reduction of paraphimosis</t>
  </si>
  <si>
    <t>Left undescended testis plus left inguinal hernia</t>
  </si>
  <si>
    <t>Left inguinal hernia repair and left orchiopexy with nerve and wound blocks</t>
  </si>
  <si>
    <t>Right undescended testis (ectopic position) right inguinal hernia</t>
  </si>
  <si>
    <t>Right orchiopexy and right inguinal hernia repair</t>
  </si>
  <si>
    <t>8-year-old, sex not specified</t>
  </si>
  <si>
    <t>Bilateral undescended testes</t>
  </si>
  <si>
    <t>Bilateral orchiopexy</t>
  </si>
  <si>
    <t>Genital examination is consistent with an absent, undescended, atrophic, torsed, or otherwise abnormal testis, depending on the operative indication.</t>
  </si>
  <si>
    <t>Nonpalpable right undescended testis with atrophic right testis</t>
  </si>
  <si>
    <t>Examination under anesthesia; diagnostic laparoscopy; right orchiectomy; left testicular fixation</t>
  </si>
  <si>
    <t>Undescended testis with inguinal hernia</t>
  </si>
  <si>
    <t>Orchiopexy and inguinal herniorrhaphy</t>
  </si>
  <si>
    <t>Bilateral scrotal orchiectomy</t>
  </si>
  <si>
    <t>: The patient is placed in the supine position prepped and draped in the usual manner. Under satisfactory general anesthesia the scrotum was approached and through a transverse mid scrotal incision the right testicle was delivered through the incision</t>
  </si>
  <si>
    <t>Microhematuria; renal stone is asymptomatic</t>
  </si>
  <si>
    <t>Nonobstructing 6-mm left intrarenal stone; microhematuria</t>
  </si>
  <si>
    <t>1. A 6-mm left intrarenal stone nonobstructing by ultrasound and IVP. The patient is asymptomatic. We have discussed surgical intervention versus observation. He indicates that this stone is not bothersome prefers observation need for hydration with a goal of making over 2 liters of urine within 24 hours is discussed. 2. Microhematuria we discussed possible etiologies of this and the patient is agreeable to cystoscopy in the near future. Urine sent for culture and sensitivity</t>
  </si>
  <si>
    <t>Refractory urgency and frequency</t>
  </si>
  <si>
    <t>Stage I and II neuromodulator placement</t>
  </si>
  <si>
    <t>Clinical assessment is consistent with refractory urinary urgency and frequency; routine physical examination may otherwise be unremarkable.</t>
  </si>
  <si>
    <t>Mini-laparotomy radical retropubic prostatectomy with bilateral pelvic lymph-node dissection and Cavermap</t>
  </si>
  <si>
    <t>Meatotomy template/example</t>
  </si>
  <si>
    <t>Genital examination is consistent with a narrowed urethral meatus or meatal abnormality affecting urinary flow.</t>
  </si>
  <si>
    <t>No current complaints; follow-up for neurogenic bladder and recurrent urinary tract infection</t>
  </si>
  <si>
    <t>Neurogenic bladder; recurrent urinary tract infection; immunosuppression after renal transplant</t>
  </si>
  <si>
    <t>1. Neurogenic bladder in a patient catheterizing himself 3 times a day changing his catheter 3 times a week we again reviewed the technique of catheterization and he has no issues with this. 2. Recurrent urinary tract infection in a patient who has been hospitalized twice within the last few months he is on steroids for renal transplant which has most likely been overall reducing his immune system. He is asymptomatic today. No complaints today</t>
  </si>
  <si>
    <t>49-year-old, sex not specified</t>
  </si>
  <si>
    <t>1. Left testicular torsion. 2. Left testicular abscess. 3. Necrotic testes</t>
  </si>
  <si>
    <t>The patient was brought to the OR. Anesthesia was applied</t>
  </si>
  <si>
    <t>16-year-old, sex not specified</t>
  </si>
  <si>
    <t>Ectopic left testis</t>
  </si>
  <si>
    <t>Left orchiopexy</t>
  </si>
  <si>
    <t>Bilateral undescended testes bilateral intraabdominal testes</t>
  </si>
  <si>
    <t>Examination under anesthesia and laparoscopic right orchiopexy</t>
  </si>
  <si>
    <t>Meatoplasty template/example</t>
  </si>
  <si>
    <t>1. Right ureteropelvic junction obstruction. 2. Severe intraabdominal adhesions. 3. Retroperitoneal fibrosis</t>
  </si>
  <si>
    <t>After informed consent was obtained the patient was taken to the operative suite and administered general anesthetic. The patient was sterilely prepped and draped in the supine fashion after building up the right side of the OR table to aid in the patient's positioning for bowel</t>
  </si>
  <si>
    <t>Inguinal hernia</t>
  </si>
  <si>
    <t>Bassini inguinal herniorrhaphy</t>
  </si>
  <si>
    <t>Bassini inguinal herniorrhaphy. A standard inguinal incision was made, and dissection was carried down to the external oblique aponeurosis using a combination of Metzenbaum scissors and Bovie electrocautery After informed consent was obtained the patient was brought to the operative suite and placed supine on the operating table. The patient was sedated and an adequate local anesthetic was administered using 1% lidocaine without epinephrine</t>
  </si>
  <si>
    <t>Recurrent right inguinal hernia as well as phimosis</t>
  </si>
  <si>
    <t>After informed consent the risks and benefits of the procedure were explained to the patient. The patient was brought to operating suite after general endotracheal intubation prepped and draped in the normal sterile fashion</t>
  </si>
  <si>
    <t>Direct left inguinal hernia</t>
  </si>
  <si>
    <t>Modified Bassini left inguinal herniorrhaphy</t>
  </si>
  <si>
    <t>Benign prostatic hypertrophy</t>
  </si>
  <si>
    <t>The patient was brought to the OR and anesthesia was applied. The patient was placed in dorsal lithotomy position</t>
  </si>
  <si>
    <t>Direct inguinal hernia</t>
  </si>
  <si>
    <t>Rutkow direct inguinal herniorrhaphy</t>
  </si>
  <si>
    <t>Inguinal herniorrhaphy</t>
  </si>
  <si>
    <t>After informed consent was obtained the patient was brought to the operative suite and placed supine on the operating table. General endotracheal anesthesia was induced without incident Inguinal herniorrhaphy. A standard inguinal incision was made and dissection was carried down to the external oblique aponeurosis using a combination of Metzenbaum scissors and Bovie electrocautery</t>
  </si>
  <si>
    <t>Undescended testis</t>
  </si>
  <si>
    <t>Inguinal orchiopexy</t>
  </si>
  <si>
    <t>Bilateral inguinal hernia</t>
  </si>
  <si>
    <t>Bilateral direct inguinal hernia repair using PHS system with On-Q pain-pump placement</t>
  </si>
  <si>
    <t>Direct right inguinal hernia</t>
  </si>
  <si>
    <t>Direct right inguinal hernia repair (operative note)</t>
  </si>
  <si>
    <t>The patient was taken to the operative suite placed on the table in the supine position and given a spinal anesthetic. The right inguinal region was shaved and prepped and draped in a routine sterile fashion</t>
  </si>
  <si>
    <t>Right direct inguinal hernia</t>
  </si>
  <si>
    <t>Right direct inguinal hernia repair with PHS mesh system</t>
  </si>
  <si>
    <t>1.  Deformity right breast reconstruction. 2.  Excess soft tissue anterior abdomen and flank. 3.  Lipodystrophy of the abdomen</t>
  </si>
  <si>
    <t>2-D Echocardiogram</t>
  </si>
  <si>
    <t>1.  Normal LV systolic function. 2.  Ejection fraction estimated around 60%</t>
  </si>
  <si>
    <t>Normal left ventricle, moderate biatrial enlargement, and mild tricuspid regurgitation, but only mild increase in right heart pressures</t>
  </si>
  <si>
    <t>Cerebral Angiogram - moyamoya disease</t>
  </si>
  <si>
    <t>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t>
  </si>
  <si>
    <t>Completely bony impacted teeth #1 #16 #17 and #32</t>
  </si>
  <si>
    <t>Preoperative visit for weight management with laparoscopic gastric banding</t>
  </si>
  <si>
    <t>The patient is status post lap band adjustments doing well has a total of 7 mL within her band tolerated water postprocedure.  She will come back in two weeks for another adjustment as needed</t>
  </si>
  <si>
    <t>Fertile male with completed family</t>
  </si>
  <si>
    <t>The patient is a 17-year-old female, who presents to the emergency room with foreign body and airway compromise and was taken to the operating room.  She was intubated and fishbone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</si>
</sst>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1F2937"/>
      <name val="Arial"/>
    </font>
    <font>
      <sz val="10"/>
      <color rgb="FF1F2937"/>
      <name val="Arial"/>
    </font>
    <font>
      <b/>
      <sz val="10"/>
      <color rgb="FFFFFFFF"/>
      <name val="Arial"/>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
      <patternFill patternType="solid">
        <fgColor rgb="FFFCE4D6"/>
      </patternFill>
    </fill>
    <fill>
      <patternFill patternType="solid">
        <fgColor rgb="FFFFF8E7"/>
      </patternFill>
    </fill>
  </fills>
  <borders count="8">
    <border>
      <left/>
      <right/>
      <top/>
      <bottom/>
      <diagonal/>
    </border>
    <border>
      <left style="thin">
        <color rgb="FFB8C2CC"/>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style="thin">
        <color rgb="FFB8C2CC"/>
      </right>
      <top/>
      <bottom style="thin">
        <color rgb="FFB8C2C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xf>
    <xf numFmtId="0" fontId="3" fillId="2" borderId="2" xfId="0" applyFont="1" applyFill="1" applyBorder="1" applyAlignment="1">
      <alignment horizontal="center"/>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3" xfId="0" applyFont="1" applyBorder="1" applyAlignment="1">
      <alignment wrapText="1"/>
    </xf>
    <xf numFmtId="0" fontId="2" fillId="0" borderId="4" xfId="0" applyFont="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2" fillId="4" borderId="3" xfId="0" applyFont="1" applyFill="1" applyBorder="1" applyAlignment="1">
      <alignment wrapText="1"/>
    </xf>
    <xf numFmtId="0" fontId="2" fillId="4" borderId="4" xfId="0" applyFont="1" applyFill="1" applyBorder="1" applyAlignment="1">
      <alignment wrapText="1"/>
    </xf>
    <xf numFmtId="0" fontId="2" fillId="5" borderId="5" xfId="0" applyFont="1" applyFill="1" applyBorder="1" applyAlignment="1">
      <alignment wrapText="1"/>
    </xf>
    <xf numFmtId="0" fontId="2" fillId="5" borderId="6" xfId="0" applyFont="1" applyFill="1" applyBorder="1" applyAlignment="1">
      <alignment wrapText="1"/>
    </xf>
    <xf numFmtId="0" fontId="3" fillId="2" borderId="7" xfId="0"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0" fontId="2" fillId="6" borderId="0" xfId="0" applyFont="1" applyFill="1" applyAlignment="1">
      <alignment vertical="top" wrapText="1"/>
    </xf>
    <xf numFmtId="0" fontId="1" fillId="0" borderId="0" xfId="0" applyFont="1" applyAlignment="1">
      <alignment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1">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erseInferenceTestData" displayName="ReverseInferenceTestData" ref="B1:N102" totalsRowShown="0">
  <tableColumns count="13">
    <tableColumn id="1" xr3:uid="{00000000-0010-0000-0000-000001000000}" name="Record ID"/>
    <tableColumn id="2" xr3:uid="{00000000-0010-0000-0000-000002000000}" name="Patient Description (Age, Sex)"/>
    <tableColumn id="3" xr3:uid="{00000000-0010-0000-0000-000003000000}" name="Family History"/>
    <tableColumn id="4" xr3:uid="{00000000-0010-0000-0000-000004000000}" name="Complaint(s)"/>
    <tableColumn id="5" xr3:uid="{00000000-0010-0000-0000-000005000000}" name="Medication Tried"/>
    <tableColumn id="6" xr3:uid="{00000000-0010-0000-0000-000006000000}" name="Physical Exam Observations (Nose/Mouth/Eyes, Chest, Abdomen, Other)"/>
    <tableColumn id="7" xr3:uid="{00000000-0010-0000-0000-000007000000}" name="Diagnosis/Condition"/>
    <tableColumn id="8" xr3:uid="{00000000-0010-0000-0000-000008000000}" name="Procedure"/>
    <tableColumn id="9" xr3:uid="{00000000-0010-0000-0000-000009000000}" name="Clinical Narrative"/>
    <tableColumn id="10" xr3:uid="{00000000-0010-0000-0000-00000A000000}" name="Workflow Observation"/>
    <tableColumn id="11" xr3:uid="{00000000-0010-0000-0000-00000B000000}" name="Observation Provenance"/>
    <tableColumn id="12" xr3:uid="{00000000-0010-0000-0000-00000C000000}" name="Reverse-Inference Confidence"/>
    <tableColumn id="13" xr3:uid="{00000000-0010-0000-0000-00000D000000}" name="Synthetic Data War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A84B"/>
  </sheetPr>
  <dimension ref="A1:E12"/>
  <sheetViews>
    <sheetView showGridLines="0" workbookViewId="0">
      <selection activeCell="A5" sqref="A5"/>
    </sheetView>
  </sheetViews>
  <sheetFormatPr defaultRowHeight="13.8"/>
  <cols>
    <col min="1" max="1" width="36" customWidth="1"/>
    <col min="2" max="2" width="14" customWidth="1"/>
    <col min="3" max="3" width="4" customWidth="1"/>
    <col min="4" max="4" width="28" customWidth="1"/>
    <col min="5" max="5" width="80" customWidth="1"/>
  </cols>
  <sheetData>
    <row r="1" spans="1:5" ht="19.2">
      <c r="A1" s="19" t="s">
        <v>0</v>
      </c>
      <c r="B1" s="19"/>
      <c r="C1" s="19"/>
      <c r="D1" s="19"/>
    </row>
    <row r="3" spans="1:5">
      <c r="A3" s="1" t="s">
        <v>1</v>
      </c>
      <c r="B3" s="2" t="s">
        <v>2</v>
      </c>
      <c r="D3" s="1" t="s">
        <v>3</v>
      </c>
      <c r="E3" s="2" t="s">
        <v>4</v>
      </c>
    </row>
    <row r="4" spans="1:5" ht="36" customHeight="1">
      <c r="A4" s="3" t="s">
        <v>5</v>
      </c>
      <c r="B4" s="4">
        <v>101</v>
      </c>
      <c r="D4" s="7" t="s">
        <v>6</v>
      </c>
      <c r="E4" s="8" t="s">
        <v>7</v>
      </c>
    </row>
    <row r="5" spans="1:5" ht="36" customHeight="1">
      <c r="A5" s="3" t="s">
        <v>8</v>
      </c>
      <c r="B5" s="4">
        <v>7</v>
      </c>
      <c r="D5" s="7" t="s">
        <v>9</v>
      </c>
      <c r="E5" s="8" t="s">
        <v>10</v>
      </c>
    </row>
    <row r="6" spans="1:5" ht="36" customHeight="1">
      <c r="A6" s="3" t="s">
        <v>11</v>
      </c>
      <c r="B6" s="4">
        <v>72</v>
      </c>
      <c r="D6" s="7" t="s">
        <v>12</v>
      </c>
      <c r="E6" s="8" t="s">
        <v>13</v>
      </c>
    </row>
    <row r="7" spans="1:5" ht="36" customHeight="1">
      <c r="A7" s="3" t="s">
        <v>14</v>
      </c>
      <c r="B7" s="4">
        <v>22</v>
      </c>
      <c r="D7" s="7" t="s">
        <v>15</v>
      </c>
      <c r="E7" s="8" t="s">
        <v>16</v>
      </c>
    </row>
    <row r="8" spans="1:5" ht="36" customHeight="1">
      <c r="A8" s="3" t="s">
        <v>17</v>
      </c>
      <c r="B8" s="4">
        <v>30</v>
      </c>
      <c r="D8" s="9" t="s">
        <v>18</v>
      </c>
      <c r="E8" s="10" t="s">
        <v>19</v>
      </c>
    </row>
    <row r="9" spans="1:5" ht="36" customHeight="1">
      <c r="A9" s="3" t="s">
        <v>20</v>
      </c>
      <c r="B9" s="4">
        <v>29</v>
      </c>
      <c r="D9" s="11" t="s">
        <v>21</v>
      </c>
      <c r="E9" s="12" t="s">
        <v>22</v>
      </c>
    </row>
    <row r="10" spans="1:5" ht="36" customHeight="1">
      <c r="A10" s="5" t="s">
        <v>23</v>
      </c>
      <c r="B10" s="6">
        <v>13</v>
      </c>
      <c r="D10" s="13" t="s">
        <v>24</v>
      </c>
      <c r="E10" s="14" t="s">
        <v>25</v>
      </c>
    </row>
    <row r="12" spans="1:5">
      <c r="B12">
        <f>B4/$B$8</f>
        <v>3.3666666666666667</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B1:N102"/>
  <sheetViews>
    <sheetView showGridLines="0" tabSelected="1" workbookViewId="0">
      <pane xSplit="1" ySplit="1" topLeftCell="B18" activePane="bottomRight" state="frozen"/>
      <selection pane="topRight"/>
      <selection pane="bottomLeft"/>
      <selection pane="bottomRight" activeCell="D24" sqref="D24"/>
    </sheetView>
  </sheetViews>
  <sheetFormatPr defaultRowHeight="13.8"/>
  <cols>
    <col min="1" max="1" width="10" customWidth="1"/>
    <col min="2" max="2" width="27" customWidth="1"/>
    <col min="3" max="3" width="59.796875" customWidth="1"/>
    <col min="4" max="4" width="30" customWidth="1"/>
    <col min="5" max="5" width="34" customWidth="1"/>
    <col min="6" max="6" width="42" customWidth="1"/>
    <col min="7" max="7" width="34" customWidth="1"/>
    <col min="8" max="8" width="40" customWidth="1"/>
    <col min="9" max="9" width="55" customWidth="1"/>
    <col min="10" max="10" width="66" customWidth="1"/>
    <col min="11" max="11" width="34" customWidth="1"/>
    <col min="12" max="12" width="24" customWidth="1"/>
    <col min="13" max="13" width="28" customWidth="1"/>
  </cols>
  <sheetData>
    <row r="1" spans="2:14" ht="40.5" customHeight="1">
      <c r="B1" s="15" t="s">
        <v>26</v>
      </c>
      <c r="C1" s="15" t="s">
        <v>27</v>
      </c>
      <c r="D1" s="15" t="s">
        <v>28</v>
      </c>
      <c r="E1" s="15" t="s">
        <v>29</v>
      </c>
      <c r="F1" s="15" t="s">
        <v>30</v>
      </c>
      <c r="G1" s="15" t="s">
        <v>31</v>
      </c>
      <c r="H1" s="15" t="s">
        <v>32</v>
      </c>
      <c r="I1" s="15" t="s">
        <v>33</v>
      </c>
      <c r="J1" s="15" t="s">
        <v>34</v>
      </c>
      <c r="K1" s="15" t="s">
        <v>35</v>
      </c>
      <c r="L1" s="15" t="s">
        <v>36</v>
      </c>
      <c r="M1" s="15" t="s">
        <v>37</v>
      </c>
      <c r="N1" s="15" t="s">
        <v>38</v>
      </c>
    </row>
    <row r="2" spans="2:14" ht="49.5" customHeight="1">
      <c r="B2" s="16">
        <v>0</v>
      </c>
      <c r="C2" s="17" t="s">
        <v>39</v>
      </c>
      <c r="D2" s="17" t="s">
        <v>40</v>
      </c>
      <c r="E2" s="17" t="s">
        <v>41</v>
      </c>
      <c r="F2" s="17" t="s">
        <v>42</v>
      </c>
      <c r="G2" s="17" t="s">
        <v>43</v>
      </c>
      <c r="H2" s="17" t="s">
        <v>44</v>
      </c>
      <c r="I2" s="17" t="s">
        <v>40</v>
      </c>
      <c r="J2" s="17" t="s">
        <v>40</v>
      </c>
      <c r="K2" s="18" t="s">
        <v>43</v>
      </c>
      <c r="L2" s="18" t="s">
        <v>45</v>
      </c>
      <c r="M2" s="18" t="s">
        <v>46</v>
      </c>
      <c r="N2" s="18" t="s">
        <v>47</v>
      </c>
    </row>
    <row r="3" spans="2:14" ht="49.5" customHeight="1">
      <c r="B3" s="16">
        <v>1</v>
      </c>
      <c r="C3" s="17" t="s">
        <v>48</v>
      </c>
      <c r="D3" s="17" t="s">
        <v>49</v>
      </c>
      <c r="E3" s="17" t="s">
        <v>50</v>
      </c>
      <c r="F3" s="17" t="s">
        <v>51</v>
      </c>
      <c r="G3" s="17" t="s">
        <v>52</v>
      </c>
      <c r="H3" s="17" t="s">
        <v>50</v>
      </c>
      <c r="I3" s="17" t="s">
        <v>40</v>
      </c>
      <c r="J3" s="17" t="s">
        <v>40</v>
      </c>
      <c r="K3" s="18" t="s">
        <v>53</v>
      </c>
      <c r="L3" s="18" t="s">
        <v>14</v>
      </c>
      <c r="M3" s="18" t="s">
        <v>46</v>
      </c>
      <c r="N3" s="18" t="s">
        <v>54</v>
      </c>
    </row>
    <row r="4" spans="2:14" ht="49.5" customHeight="1">
      <c r="B4" s="16">
        <v>2</v>
      </c>
      <c r="C4" s="17" t="s">
        <v>55</v>
      </c>
      <c r="D4" s="17" t="s">
        <v>56</v>
      </c>
      <c r="E4" s="17" t="s">
        <v>57</v>
      </c>
      <c r="F4" s="17" t="s">
        <v>58</v>
      </c>
      <c r="G4" s="17" t="s">
        <v>52</v>
      </c>
      <c r="H4" s="17" t="s">
        <v>57</v>
      </c>
      <c r="I4" s="17" t="s">
        <v>40</v>
      </c>
      <c r="J4" s="17" t="s">
        <v>40</v>
      </c>
      <c r="K4" s="18" t="s">
        <v>59</v>
      </c>
      <c r="L4" s="18" t="s">
        <v>60</v>
      </c>
      <c r="M4" s="18" t="s">
        <v>61</v>
      </c>
      <c r="N4" s="18" t="s">
        <v>62</v>
      </c>
    </row>
    <row r="5" spans="2:14" ht="49.5" customHeight="1">
      <c r="B5" s="16">
        <v>3</v>
      </c>
      <c r="C5" s="17" t="s">
        <v>63</v>
      </c>
      <c r="D5" s="17" t="s">
        <v>40</v>
      </c>
      <c r="E5" s="17" t="s">
        <v>64</v>
      </c>
      <c r="F5" s="17" t="s">
        <v>40</v>
      </c>
      <c r="G5" s="17" t="s">
        <v>65</v>
      </c>
      <c r="H5" s="17" t="s">
        <v>66</v>
      </c>
      <c r="I5" s="17" t="s">
        <v>40</v>
      </c>
      <c r="J5" s="17" t="s">
        <v>40</v>
      </c>
      <c r="K5" s="18" t="s">
        <v>65</v>
      </c>
      <c r="L5" s="18" t="s">
        <v>45</v>
      </c>
      <c r="M5" s="18" t="s">
        <v>46</v>
      </c>
      <c r="N5" s="18" t="s">
        <v>47</v>
      </c>
    </row>
    <row r="6" spans="2:14" ht="49.5" customHeight="1">
      <c r="B6" s="16">
        <v>4</v>
      </c>
      <c r="C6" s="17" t="s">
        <v>63</v>
      </c>
      <c r="D6" s="17" t="s">
        <v>40</v>
      </c>
      <c r="E6" s="17" t="s">
        <v>64</v>
      </c>
      <c r="F6" s="17" t="s">
        <v>40</v>
      </c>
      <c r="G6" s="17" t="s">
        <v>67</v>
      </c>
      <c r="H6" s="17" t="s">
        <v>68</v>
      </c>
      <c r="I6" s="17" t="s">
        <v>40</v>
      </c>
      <c r="J6" s="17" t="s">
        <v>40</v>
      </c>
      <c r="K6" s="18" t="s">
        <v>67</v>
      </c>
      <c r="L6" s="18" t="s">
        <v>45</v>
      </c>
      <c r="M6" s="18" t="s">
        <v>46</v>
      </c>
      <c r="N6" s="18" t="s">
        <v>47</v>
      </c>
    </row>
    <row r="7" spans="2:14" ht="36.6" customHeight="1">
      <c r="B7" s="16">
        <v>5</v>
      </c>
      <c r="C7" s="17" t="s">
        <v>69</v>
      </c>
      <c r="D7" t="s">
        <v>70</v>
      </c>
      <c r="E7" s="17" t="s">
        <v>40</v>
      </c>
      <c r="F7" s="17" t="s">
        <v>40</v>
      </c>
      <c r="G7" s="17" t="s">
        <v>40</v>
      </c>
      <c r="H7" s="17" t="s">
        <v>70</v>
      </c>
      <c r="I7" s="17" t="s">
        <v>71</v>
      </c>
      <c r="J7" s="17" t="s">
        <v>40</v>
      </c>
      <c r="K7" s="18" t="s">
        <v>72</v>
      </c>
      <c r="L7" s="18" t="s">
        <v>73</v>
      </c>
      <c r="M7" s="18" t="s">
        <v>74</v>
      </c>
      <c r="N7" s="18" t="s">
        <v>62</v>
      </c>
    </row>
    <row r="8" spans="2:14" ht="60.6" customHeight="1">
      <c r="B8" s="16">
        <v>6</v>
      </c>
      <c r="C8" s="17" t="s">
        <v>75</v>
      </c>
      <c r="D8" s="20" t="s">
        <v>364</v>
      </c>
      <c r="E8" s="17" t="s">
        <v>40</v>
      </c>
      <c r="F8" s="17" t="s">
        <v>40</v>
      </c>
      <c r="G8" s="17" t="s">
        <v>40</v>
      </c>
      <c r="H8" s="17" t="s">
        <v>76</v>
      </c>
      <c r="I8" s="17" t="s">
        <v>77</v>
      </c>
      <c r="J8" s="17" t="s">
        <v>40</v>
      </c>
      <c r="K8" s="18" t="s">
        <v>78</v>
      </c>
      <c r="L8" s="18" t="s">
        <v>73</v>
      </c>
      <c r="M8" s="18" t="s">
        <v>79</v>
      </c>
      <c r="N8" s="18" t="s">
        <v>62</v>
      </c>
    </row>
    <row r="9" spans="2:14" ht="49.5" customHeight="1">
      <c r="B9" s="16">
        <v>7</v>
      </c>
      <c r="C9" s="17" t="s">
        <v>63</v>
      </c>
      <c r="D9" t="s">
        <v>365</v>
      </c>
      <c r="E9" s="17" t="s">
        <v>40</v>
      </c>
      <c r="F9" s="17" t="s">
        <v>40</v>
      </c>
      <c r="G9" s="17" t="s">
        <v>40</v>
      </c>
      <c r="H9" s="17" t="s">
        <v>40</v>
      </c>
      <c r="I9" s="17" t="s">
        <v>80</v>
      </c>
      <c r="J9" s="17" t="s">
        <v>40</v>
      </c>
      <c r="K9" s="18" t="s">
        <v>81</v>
      </c>
      <c r="L9" s="18" t="s">
        <v>73</v>
      </c>
      <c r="M9" s="18" t="s">
        <v>61</v>
      </c>
      <c r="N9" s="18" t="s">
        <v>62</v>
      </c>
    </row>
    <row r="10" spans="2:14" ht="49.5" customHeight="1">
      <c r="B10" s="16">
        <v>8</v>
      </c>
      <c r="C10" s="17" t="s">
        <v>63</v>
      </c>
      <c r="D10" t="s">
        <v>82</v>
      </c>
      <c r="E10" s="17" t="s">
        <v>40</v>
      </c>
      <c r="F10" s="17" t="s">
        <v>40</v>
      </c>
      <c r="G10" s="17" t="s">
        <v>40</v>
      </c>
      <c r="H10" s="17" t="s">
        <v>82</v>
      </c>
      <c r="I10" s="17" t="s">
        <v>83</v>
      </c>
      <c r="J10" s="17" t="s">
        <v>40</v>
      </c>
      <c r="K10" s="18" t="s">
        <v>84</v>
      </c>
      <c r="L10" s="18" t="s">
        <v>73</v>
      </c>
      <c r="M10" s="18" t="s">
        <v>79</v>
      </c>
      <c r="N10" s="18" t="s">
        <v>62</v>
      </c>
    </row>
    <row r="11" spans="2:14" ht="49.5" customHeight="1">
      <c r="B11" s="16">
        <v>9</v>
      </c>
      <c r="C11" s="17" t="s">
        <v>63</v>
      </c>
      <c r="D11" s="20" t="s">
        <v>366</v>
      </c>
      <c r="E11" s="17" t="s">
        <v>40</v>
      </c>
      <c r="F11" s="17" t="s">
        <v>40</v>
      </c>
      <c r="G11" s="17" t="s">
        <v>40</v>
      </c>
      <c r="H11" s="17" t="s">
        <v>85</v>
      </c>
      <c r="I11" s="17" t="s">
        <v>86</v>
      </c>
      <c r="J11" s="17" t="s">
        <v>40</v>
      </c>
      <c r="K11" s="18" t="s">
        <v>81</v>
      </c>
      <c r="L11" s="18" t="s">
        <v>73</v>
      </c>
      <c r="M11" s="18" t="s">
        <v>61</v>
      </c>
      <c r="N11" s="18" t="s">
        <v>62</v>
      </c>
    </row>
    <row r="12" spans="2:14" ht="49.5" customHeight="1">
      <c r="B12" s="16">
        <v>10</v>
      </c>
      <c r="C12" s="17" t="s">
        <v>87</v>
      </c>
      <c r="D12" t="s">
        <v>70</v>
      </c>
      <c r="E12" s="17" t="s">
        <v>40</v>
      </c>
      <c r="F12" s="17" t="s">
        <v>40</v>
      </c>
      <c r="G12" s="17" t="s">
        <v>40</v>
      </c>
      <c r="H12" s="17" t="s">
        <v>70</v>
      </c>
      <c r="I12" s="17" t="s">
        <v>88</v>
      </c>
      <c r="J12" s="17" t="s">
        <v>40</v>
      </c>
      <c r="K12" s="18" t="s">
        <v>72</v>
      </c>
      <c r="L12" s="18" t="s">
        <v>73</v>
      </c>
      <c r="M12" s="18" t="s">
        <v>74</v>
      </c>
      <c r="N12" s="18" t="s">
        <v>62</v>
      </c>
    </row>
    <row r="13" spans="2:14" ht="62.4" customHeight="1">
      <c r="B13" s="16">
        <v>11</v>
      </c>
      <c r="C13" s="17" t="s">
        <v>63</v>
      </c>
      <c r="D13" s="20" t="s">
        <v>367</v>
      </c>
      <c r="E13" s="17" t="s">
        <v>40</v>
      </c>
      <c r="F13" s="17" t="s">
        <v>40</v>
      </c>
      <c r="G13" s="17" t="s">
        <v>40</v>
      </c>
      <c r="H13" s="17" t="s">
        <v>89</v>
      </c>
      <c r="I13" s="17" t="s">
        <v>40</v>
      </c>
      <c r="J13" s="17" t="s">
        <v>40</v>
      </c>
      <c r="K13" s="18" t="s">
        <v>53</v>
      </c>
      <c r="L13" s="18" t="s">
        <v>14</v>
      </c>
      <c r="M13" s="18" t="s">
        <v>46</v>
      </c>
      <c r="N13" s="18" t="s">
        <v>54</v>
      </c>
    </row>
    <row r="14" spans="2:14" ht="62.4" customHeight="1">
      <c r="B14" s="16">
        <v>12</v>
      </c>
      <c r="C14" s="17" t="s">
        <v>75</v>
      </c>
      <c r="D14" s="20" t="s">
        <v>368</v>
      </c>
      <c r="E14" s="17" t="s">
        <v>40</v>
      </c>
      <c r="F14" s="17" t="s">
        <v>40</v>
      </c>
      <c r="G14" s="17" t="s">
        <v>40</v>
      </c>
      <c r="H14" s="17" t="s">
        <v>90</v>
      </c>
      <c r="I14" s="17" t="s">
        <v>91</v>
      </c>
      <c r="J14" s="17" t="s">
        <v>40</v>
      </c>
      <c r="K14" s="18" t="s">
        <v>92</v>
      </c>
      <c r="L14" s="18" t="s">
        <v>73</v>
      </c>
      <c r="M14" s="18" t="s">
        <v>61</v>
      </c>
      <c r="N14" s="18" t="s">
        <v>62</v>
      </c>
    </row>
    <row r="15" spans="2:14" ht="96.6" customHeight="1">
      <c r="B15" s="16">
        <v>13</v>
      </c>
      <c r="C15" s="17" t="s">
        <v>93</v>
      </c>
      <c r="D15" s="20" t="s">
        <v>369</v>
      </c>
      <c r="E15" s="17" t="s">
        <v>94</v>
      </c>
      <c r="F15" s="17" t="s">
        <v>95</v>
      </c>
      <c r="G15" s="17" t="s">
        <v>40</v>
      </c>
      <c r="H15" s="17" t="s">
        <v>96</v>
      </c>
      <c r="I15" s="17" t="s">
        <v>97</v>
      </c>
      <c r="J15" s="17" t="s">
        <v>98</v>
      </c>
      <c r="K15" s="18" t="s">
        <v>72</v>
      </c>
      <c r="L15" s="18" t="s">
        <v>73</v>
      </c>
      <c r="M15" s="18" t="s">
        <v>74</v>
      </c>
      <c r="N15" s="18" t="s">
        <v>62</v>
      </c>
    </row>
    <row r="16" spans="2:14" ht="49.5" customHeight="1">
      <c r="B16" s="16">
        <v>14</v>
      </c>
      <c r="C16" s="17" t="s">
        <v>63</v>
      </c>
      <c r="D16" s="20" t="s">
        <v>370</v>
      </c>
      <c r="E16" s="17" t="s">
        <v>40</v>
      </c>
      <c r="F16" s="17" t="s">
        <v>40</v>
      </c>
      <c r="G16" s="17" t="s">
        <v>40</v>
      </c>
      <c r="H16" s="17" t="s">
        <v>99</v>
      </c>
      <c r="I16" s="17" t="s">
        <v>100</v>
      </c>
      <c r="J16" s="17" t="s">
        <v>40</v>
      </c>
      <c r="K16" s="18" t="s">
        <v>101</v>
      </c>
      <c r="L16" s="18" t="s">
        <v>73</v>
      </c>
      <c r="M16" s="18" t="s">
        <v>79</v>
      </c>
      <c r="N16" s="18" t="s">
        <v>62</v>
      </c>
    </row>
    <row r="17" spans="2:14" ht="47.4" customHeight="1">
      <c r="B17" s="16">
        <v>15</v>
      </c>
      <c r="C17" s="17" t="s">
        <v>63</v>
      </c>
      <c r="D17" s="20" t="s">
        <v>371</v>
      </c>
      <c r="E17" s="17" t="s">
        <v>40</v>
      </c>
      <c r="F17" s="17" t="s">
        <v>40</v>
      </c>
      <c r="G17" s="17" t="s">
        <v>40</v>
      </c>
      <c r="H17" s="17" t="s">
        <v>102</v>
      </c>
      <c r="I17" s="17" t="s">
        <v>103</v>
      </c>
      <c r="J17" s="17" t="s">
        <v>40</v>
      </c>
      <c r="K17" s="18" t="s">
        <v>72</v>
      </c>
      <c r="L17" s="18" t="s">
        <v>73</v>
      </c>
      <c r="M17" s="18" t="s">
        <v>74</v>
      </c>
      <c r="N17" s="18" t="s">
        <v>62</v>
      </c>
    </row>
    <row r="18" spans="2:14" ht="54" customHeight="1">
      <c r="B18" s="16">
        <v>16</v>
      </c>
      <c r="C18" s="17" t="s">
        <v>87</v>
      </c>
      <c r="D18" s="20" t="s">
        <v>106</v>
      </c>
      <c r="E18" s="17" t="s">
        <v>40</v>
      </c>
      <c r="F18" s="17" t="s">
        <v>40</v>
      </c>
      <c r="G18" s="17" t="s">
        <v>40</v>
      </c>
      <c r="H18" s="17" t="s">
        <v>104</v>
      </c>
      <c r="I18" s="17" t="s">
        <v>105</v>
      </c>
      <c r="J18" s="17" t="s">
        <v>106</v>
      </c>
      <c r="K18" s="18" t="s">
        <v>107</v>
      </c>
      <c r="L18" s="18" t="s">
        <v>73</v>
      </c>
      <c r="M18" s="18" t="s">
        <v>74</v>
      </c>
      <c r="N18" s="18" t="s">
        <v>62</v>
      </c>
    </row>
    <row r="19" spans="2:14" ht="87" customHeight="1">
      <c r="B19" s="16">
        <v>17</v>
      </c>
      <c r="C19" s="17" t="s">
        <v>108</v>
      </c>
      <c r="D19" s="20" t="s">
        <v>372</v>
      </c>
      <c r="E19" s="17" t="s">
        <v>109</v>
      </c>
      <c r="F19" s="17" t="s">
        <v>40</v>
      </c>
      <c r="G19" s="17" t="s">
        <v>40</v>
      </c>
      <c r="H19" s="17" t="s">
        <v>110</v>
      </c>
      <c r="I19" s="17" t="s">
        <v>111</v>
      </c>
      <c r="J19" s="17" t="s">
        <v>112</v>
      </c>
      <c r="K19" s="18" t="s">
        <v>72</v>
      </c>
      <c r="L19" s="18" t="s">
        <v>73</v>
      </c>
      <c r="M19" s="18" t="s">
        <v>74</v>
      </c>
      <c r="N19" s="18" t="s">
        <v>62</v>
      </c>
    </row>
    <row r="20" spans="2:14" ht="43.8" customHeight="1">
      <c r="B20" s="16">
        <v>18</v>
      </c>
      <c r="C20" s="17" t="s">
        <v>113</v>
      </c>
      <c r="D20" t="s">
        <v>373</v>
      </c>
      <c r="E20" s="17" t="s">
        <v>114</v>
      </c>
      <c r="F20" s="17" t="s">
        <v>40</v>
      </c>
      <c r="G20" s="17" t="s">
        <v>40</v>
      </c>
      <c r="H20" s="17" t="s">
        <v>115</v>
      </c>
      <c r="I20" s="17" t="s">
        <v>116</v>
      </c>
      <c r="J20" s="17" t="s">
        <v>117</v>
      </c>
      <c r="K20" s="18" t="s">
        <v>118</v>
      </c>
      <c r="L20" s="18" t="s">
        <v>73</v>
      </c>
      <c r="M20" s="18" t="s">
        <v>74</v>
      </c>
      <c r="N20" s="18" t="s">
        <v>62</v>
      </c>
    </row>
    <row r="21" spans="2:14" ht="85.8" customHeight="1">
      <c r="B21" s="16">
        <v>19</v>
      </c>
      <c r="C21" s="17" t="s">
        <v>119</v>
      </c>
      <c r="D21" s="22" t="s">
        <v>374</v>
      </c>
      <c r="E21" s="17" t="s">
        <v>120</v>
      </c>
      <c r="F21" s="17" t="s">
        <v>121</v>
      </c>
      <c r="G21" s="17" t="s">
        <v>40</v>
      </c>
      <c r="H21" s="17" t="s">
        <v>122</v>
      </c>
      <c r="I21" s="17" t="s">
        <v>123</v>
      </c>
      <c r="J21" s="17" t="s">
        <v>124</v>
      </c>
      <c r="K21" s="18" t="s">
        <v>107</v>
      </c>
      <c r="L21" s="18" t="s">
        <v>73</v>
      </c>
      <c r="M21" s="18" t="s">
        <v>74</v>
      </c>
      <c r="N21" s="18" t="s">
        <v>62</v>
      </c>
    </row>
    <row r="22" spans="2:14" ht="49.5" customHeight="1">
      <c r="B22" s="16">
        <v>20</v>
      </c>
      <c r="C22" s="17" t="s">
        <v>63</v>
      </c>
      <c r="D22" s="21" t="s">
        <v>125</v>
      </c>
      <c r="E22" s="17" t="s">
        <v>40</v>
      </c>
      <c r="F22" s="17" t="s">
        <v>40</v>
      </c>
      <c r="G22" s="17" t="s">
        <v>40</v>
      </c>
      <c r="H22" s="17" t="s">
        <v>125</v>
      </c>
      <c r="I22" s="17" t="s">
        <v>126</v>
      </c>
      <c r="J22" s="17" t="s">
        <v>40</v>
      </c>
      <c r="K22" s="18" t="s">
        <v>127</v>
      </c>
      <c r="L22" s="18" t="s">
        <v>73</v>
      </c>
      <c r="M22" s="18" t="s">
        <v>61</v>
      </c>
      <c r="N22" s="18" t="s">
        <v>62</v>
      </c>
    </row>
    <row r="23" spans="2:14" ht="49.5" customHeight="1">
      <c r="B23" s="16">
        <v>21</v>
      </c>
      <c r="C23" s="17" t="s">
        <v>69</v>
      </c>
      <c r="D23" s="21" t="s">
        <v>130</v>
      </c>
      <c r="E23" s="17" t="s">
        <v>40</v>
      </c>
      <c r="F23" s="17" t="s">
        <v>40</v>
      </c>
      <c r="G23" s="17" t="s">
        <v>40</v>
      </c>
      <c r="H23" s="17" t="s">
        <v>128</v>
      </c>
      <c r="I23" s="17" t="s">
        <v>129</v>
      </c>
      <c r="J23" s="17" t="s">
        <v>130</v>
      </c>
      <c r="K23" s="18" t="s">
        <v>72</v>
      </c>
      <c r="L23" s="18" t="s">
        <v>73</v>
      </c>
      <c r="M23" s="18" t="s">
        <v>74</v>
      </c>
      <c r="N23" s="18" t="s">
        <v>62</v>
      </c>
    </row>
    <row r="24" spans="2:14" ht="49.5" customHeight="1">
      <c r="B24" s="16">
        <v>22</v>
      </c>
      <c r="C24" s="17" t="s">
        <v>63</v>
      </c>
      <c r="D24" s="17" t="s">
        <v>40</v>
      </c>
      <c r="E24" s="17" t="s">
        <v>40</v>
      </c>
      <c r="F24" s="17" t="s">
        <v>40</v>
      </c>
      <c r="G24" s="17" t="s">
        <v>40</v>
      </c>
      <c r="H24" s="17" t="s">
        <v>40</v>
      </c>
      <c r="I24" s="17" t="s">
        <v>131</v>
      </c>
      <c r="J24" s="17" t="s">
        <v>40</v>
      </c>
      <c r="K24" s="18" t="s">
        <v>118</v>
      </c>
      <c r="L24" s="18" t="s">
        <v>73</v>
      </c>
      <c r="M24" s="18" t="s">
        <v>74</v>
      </c>
      <c r="N24" s="18" t="s">
        <v>62</v>
      </c>
    </row>
    <row r="25" spans="2:14" ht="49.5" customHeight="1">
      <c r="B25" s="16">
        <v>23</v>
      </c>
      <c r="C25" s="17" t="s">
        <v>63</v>
      </c>
      <c r="D25" s="17" t="s">
        <v>40</v>
      </c>
      <c r="E25" s="17" t="s">
        <v>40</v>
      </c>
      <c r="F25" s="17" t="s">
        <v>40</v>
      </c>
      <c r="G25" s="17" t="s">
        <v>40</v>
      </c>
      <c r="H25" s="17" t="s">
        <v>115</v>
      </c>
      <c r="I25" s="17" t="s">
        <v>116</v>
      </c>
      <c r="J25" s="17" t="s">
        <v>40</v>
      </c>
      <c r="K25" s="18" t="s">
        <v>118</v>
      </c>
      <c r="L25" s="18" t="s">
        <v>73</v>
      </c>
      <c r="M25" s="18" t="s">
        <v>74</v>
      </c>
      <c r="N25" s="18" t="s">
        <v>62</v>
      </c>
    </row>
    <row r="26" spans="2:14" ht="49.5" customHeight="1">
      <c r="B26" s="16">
        <v>24</v>
      </c>
      <c r="C26" s="17" t="s">
        <v>63</v>
      </c>
      <c r="D26" s="17" t="s">
        <v>40</v>
      </c>
      <c r="E26" s="17" t="s">
        <v>132</v>
      </c>
      <c r="F26" s="17" t="s">
        <v>40</v>
      </c>
      <c r="G26" s="17" t="s">
        <v>40</v>
      </c>
      <c r="H26" s="17" t="s">
        <v>133</v>
      </c>
      <c r="I26" s="17" t="s">
        <v>40</v>
      </c>
      <c r="J26" s="17" t="s">
        <v>40</v>
      </c>
      <c r="K26" s="18" t="s">
        <v>53</v>
      </c>
      <c r="L26" s="18" t="s">
        <v>14</v>
      </c>
      <c r="M26" s="18" t="s">
        <v>46</v>
      </c>
      <c r="N26" s="18" t="s">
        <v>54</v>
      </c>
    </row>
    <row r="27" spans="2:14" ht="49.5" customHeight="1">
      <c r="B27" s="16">
        <v>25</v>
      </c>
      <c r="C27" s="17" t="s">
        <v>63</v>
      </c>
      <c r="D27" s="17" t="s">
        <v>40</v>
      </c>
      <c r="E27" s="17" t="s">
        <v>40</v>
      </c>
      <c r="F27" s="17" t="s">
        <v>40</v>
      </c>
      <c r="G27" s="17" t="s">
        <v>40</v>
      </c>
      <c r="H27" s="17" t="s">
        <v>115</v>
      </c>
      <c r="I27" s="17" t="s">
        <v>116</v>
      </c>
      <c r="J27" s="17" t="s">
        <v>134</v>
      </c>
      <c r="K27" s="18" t="s">
        <v>118</v>
      </c>
      <c r="L27" s="18" t="s">
        <v>73</v>
      </c>
      <c r="M27" s="18" t="s">
        <v>74</v>
      </c>
      <c r="N27" s="18" t="s">
        <v>62</v>
      </c>
    </row>
    <row r="28" spans="2:14" ht="49.5" customHeight="1">
      <c r="B28" s="16">
        <v>26</v>
      </c>
      <c r="C28" s="17" t="s">
        <v>135</v>
      </c>
      <c r="D28" s="17" t="s">
        <v>40</v>
      </c>
      <c r="E28" s="17" t="s">
        <v>136</v>
      </c>
      <c r="F28" s="17" t="s">
        <v>40</v>
      </c>
      <c r="G28" s="17" t="s">
        <v>40</v>
      </c>
      <c r="H28" s="17" t="s">
        <v>40</v>
      </c>
      <c r="I28" s="17" t="s">
        <v>137</v>
      </c>
      <c r="J28" s="17" t="s">
        <v>40</v>
      </c>
      <c r="K28" s="18" t="s">
        <v>138</v>
      </c>
      <c r="L28" s="18" t="s">
        <v>73</v>
      </c>
      <c r="M28" s="18" t="s">
        <v>74</v>
      </c>
      <c r="N28" s="18" t="s">
        <v>62</v>
      </c>
    </row>
    <row r="29" spans="2:14" ht="49.5" customHeight="1">
      <c r="B29" s="16">
        <v>27</v>
      </c>
      <c r="C29" s="17" t="s">
        <v>63</v>
      </c>
      <c r="D29" s="17" t="s">
        <v>40</v>
      </c>
      <c r="E29" s="17" t="s">
        <v>40</v>
      </c>
      <c r="F29" s="17" t="s">
        <v>40</v>
      </c>
      <c r="G29" s="17" t="s">
        <v>40</v>
      </c>
      <c r="H29" s="17" t="s">
        <v>40</v>
      </c>
      <c r="I29" s="17" t="s">
        <v>139</v>
      </c>
      <c r="J29" s="17" t="s">
        <v>40</v>
      </c>
      <c r="K29" s="18" t="s">
        <v>140</v>
      </c>
      <c r="L29" s="18" t="s">
        <v>73</v>
      </c>
      <c r="M29" s="18" t="s">
        <v>79</v>
      </c>
      <c r="N29" s="18" t="s">
        <v>62</v>
      </c>
    </row>
    <row r="30" spans="2:14" ht="49.5" customHeight="1">
      <c r="B30" s="16">
        <v>28</v>
      </c>
      <c r="C30" s="17" t="s">
        <v>63</v>
      </c>
      <c r="D30" s="17" t="s">
        <v>40</v>
      </c>
      <c r="E30" s="17" t="s">
        <v>141</v>
      </c>
      <c r="F30" s="17" t="s">
        <v>40</v>
      </c>
      <c r="G30" s="17" t="s">
        <v>40</v>
      </c>
      <c r="H30" s="17" t="s">
        <v>142</v>
      </c>
      <c r="I30" s="17" t="s">
        <v>40</v>
      </c>
      <c r="J30" s="17" t="s">
        <v>40</v>
      </c>
      <c r="K30" s="18" t="s">
        <v>53</v>
      </c>
      <c r="L30" s="18" t="s">
        <v>14</v>
      </c>
      <c r="M30" s="18" t="s">
        <v>46</v>
      </c>
      <c r="N30" s="18" t="s">
        <v>54</v>
      </c>
    </row>
    <row r="31" spans="2:14" ht="49.5" customHeight="1">
      <c r="B31" s="16">
        <v>29</v>
      </c>
      <c r="C31" s="17" t="s">
        <v>63</v>
      </c>
      <c r="D31" s="17" t="s">
        <v>40</v>
      </c>
      <c r="E31" s="17" t="s">
        <v>40</v>
      </c>
      <c r="F31" s="17" t="s">
        <v>40</v>
      </c>
      <c r="G31" s="17" t="s">
        <v>40</v>
      </c>
      <c r="H31" s="17" t="s">
        <v>115</v>
      </c>
      <c r="I31" s="17" t="s">
        <v>116</v>
      </c>
      <c r="J31" s="17" t="s">
        <v>143</v>
      </c>
      <c r="K31" s="18" t="s">
        <v>118</v>
      </c>
      <c r="L31" s="18" t="s">
        <v>73</v>
      </c>
      <c r="M31" s="18" t="s">
        <v>74</v>
      </c>
      <c r="N31" s="18" t="s">
        <v>62</v>
      </c>
    </row>
    <row r="32" spans="2:14" ht="49.5" customHeight="1">
      <c r="B32" s="16">
        <v>30</v>
      </c>
      <c r="C32" s="17" t="s">
        <v>63</v>
      </c>
      <c r="D32" s="17" t="s">
        <v>40</v>
      </c>
      <c r="E32" s="17" t="s">
        <v>144</v>
      </c>
      <c r="F32" s="17" t="s">
        <v>40</v>
      </c>
      <c r="G32" s="17" t="s">
        <v>40</v>
      </c>
      <c r="H32" s="17" t="s">
        <v>145</v>
      </c>
      <c r="I32" s="17" t="s">
        <v>40</v>
      </c>
      <c r="J32" s="17" t="s">
        <v>146</v>
      </c>
      <c r="K32" s="18" t="s">
        <v>53</v>
      </c>
      <c r="L32" s="18" t="s">
        <v>14</v>
      </c>
      <c r="M32" s="18" t="s">
        <v>46</v>
      </c>
      <c r="N32" s="18" t="s">
        <v>54</v>
      </c>
    </row>
    <row r="33" spans="2:14" ht="49.5" customHeight="1">
      <c r="B33" s="16">
        <v>31</v>
      </c>
      <c r="C33" s="17" t="s">
        <v>147</v>
      </c>
      <c r="D33" s="17" t="s">
        <v>40</v>
      </c>
      <c r="E33" s="17" t="s">
        <v>148</v>
      </c>
      <c r="F33" s="17" t="s">
        <v>149</v>
      </c>
      <c r="G33" s="17" t="s">
        <v>40</v>
      </c>
      <c r="H33" s="17" t="s">
        <v>150</v>
      </c>
      <c r="I33" s="17" t="s">
        <v>40</v>
      </c>
      <c r="J33" s="17" t="s">
        <v>151</v>
      </c>
      <c r="K33" s="18" t="s">
        <v>152</v>
      </c>
      <c r="L33" s="18" t="s">
        <v>60</v>
      </c>
      <c r="M33" s="18" t="s">
        <v>61</v>
      </c>
      <c r="N33" s="18" t="s">
        <v>62</v>
      </c>
    </row>
    <row r="34" spans="2:14" ht="49.5" customHeight="1">
      <c r="B34" s="16">
        <v>32</v>
      </c>
      <c r="C34" s="17" t="s">
        <v>63</v>
      </c>
      <c r="D34" s="17" t="s">
        <v>40</v>
      </c>
      <c r="E34" s="17" t="s">
        <v>132</v>
      </c>
      <c r="F34" s="17" t="s">
        <v>153</v>
      </c>
      <c r="G34" s="17" t="s">
        <v>40</v>
      </c>
      <c r="H34" s="17" t="s">
        <v>154</v>
      </c>
      <c r="I34" s="17" t="s">
        <v>40</v>
      </c>
      <c r="J34" s="17" t="s">
        <v>155</v>
      </c>
      <c r="K34" s="18" t="s">
        <v>156</v>
      </c>
      <c r="L34" s="18" t="s">
        <v>60</v>
      </c>
      <c r="M34" s="18" t="s">
        <v>61</v>
      </c>
      <c r="N34" s="18" t="s">
        <v>62</v>
      </c>
    </row>
    <row r="35" spans="2:14" ht="49.5" customHeight="1">
      <c r="B35" s="16">
        <v>33</v>
      </c>
      <c r="C35" s="17" t="s">
        <v>63</v>
      </c>
      <c r="D35" s="17" t="s">
        <v>40</v>
      </c>
      <c r="E35" s="17" t="s">
        <v>40</v>
      </c>
      <c r="F35" s="17" t="s">
        <v>40</v>
      </c>
      <c r="G35" s="17" t="s">
        <v>40</v>
      </c>
      <c r="H35" s="17" t="s">
        <v>157</v>
      </c>
      <c r="I35" s="17" t="s">
        <v>139</v>
      </c>
      <c r="J35" s="17" t="s">
        <v>158</v>
      </c>
      <c r="K35" s="18" t="s">
        <v>140</v>
      </c>
      <c r="L35" s="18" t="s">
        <v>73</v>
      </c>
      <c r="M35" s="18" t="s">
        <v>79</v>
      </c>
      <c r="N35" s="18" t="s">
        <v>62</v>
      </c>
    </row>
    <row r="36" spans="2:14" ht="49.5" customHeight="1">
      <c r="B36" s="16">
        <v>34</v>
      </c>
      <c r="C36" s="17" t="s">
        <v>159</v>
      </c>
      <c r="D36" s="17" t="s">
        <v>40</v>
      </c>
      <c r="E36" s="17" t="s">
        <v>160</v>
      </c>
      <c r="F36" s="17" t="s">
        <v>40</v>
      </c>
      <c r="G36" s="17" t="s">
        <v>40</v>
      </c>
      <c r="H36" s="17" t="s">
        <v>161</v>
      </c>
      <c r="I36" s="17" t="s">
        <v>40</v>
      </c>
      <c r="J36" s="17" t="s">
        <v>162</v>
      </c>
      <c r="K36" s="18" t="s">
        <v>53</v>
      </c>
      <c r="L36" s="18" t="s">
        <v>14</v>
      </c>
      <c r="M36" s="18" t="s">
        <v>46</v>
      </c>
      <c r="N36" s="18" t="s">
        <v>54</v>
      </c>
    </row>
    <row r="37" spans="2:14" ht="49.5" customHeight="1">
      <c r="B37" s="16">
        <v>35</v>
      </c>
      <c r="C37" s="17" t="s">
        <v>63</v>
      </c>
      <c r="D37" s="17" t="s">
        <v>40</v>
      </c>
      <c r="E37" s="17" t="s">
        <v>163</v>
      </c>
      <c r="F37" s="17" t="s">
        <v>40</v>
      </c>
      <c r="G37" s="17" t="s">
        <v>40</v>
      </c>
      <c r="H37" s="17" t="s">
        <v>164</v>
      </c>
      <c r="I37" s="17" t="s">
        <v>165</v>
      </c>
      <c r="J37" s="17" t="s">
        <v>166</v>
      </c>
      <c r="K37" s="18" t="s">
        <v>167</v>
      </c>
      <c r="L37" s="18" t="s">
        <v>73</v>
      </c>
      <c r="M37" s="18" t="s">
        <v>74</v>
      </c>
      <c r="N37" s="18" t="s">
        <v>62</v>
      </c>
    </row>
    <row r="38" spans="2:14" ht="49.5" customHeight="1">
      <c r="B38" s="16">
        <v>36</v>
      </c>
      <c r="C38" s="17" t="s">
        <v>168</v>
      </c>
      <c r="D38" s="17" t="s">
        <v>40</v>
      </c>
      <c r="E38" s="17" t="s">
        <v>40</v>
      </c>
      <c r="F38" s="17" t="s">
        <v>40</v>
      </c>
      <c r="G38" s="17" t="s">
        <v>40</v>
      </c>
      <c r="H38" s="17" t="s">
        <v>169</v>
      </c>
      <c r="I38" s="17" t="s">
        <v>170</v>
      </c>
      <c r="J38" s="17" t="s">
        <v>40</v>
      </c>
      <c r="K38" s="18" t="s">
        <v>171</v>
      </c>
      <c r="L38" s="18" t="s">
        <v>73</v>
      </c>
      <c r="M38" s="18" t="s">
        <v>74</v>
      </c>
      <c r="N38" s="18" t="s">
        <v>62</v>
      </c>
    </row>
    <row r="39" spans="2:14" ht="49.5" customHeight="1">
      <c r="B39" s="16">
        <v>37</v>
      </c>
      <c r="C39" s="17" t="s">
        <v>172</v>
      </c>
      <c r="D39" s="17" t="s">
        <v>40</v>
      </c>
      <c r="E39" s="17" t="s">
        <v>40</v>
      </c>
      <c r="F39" s="17" t="s">
        <v>40</v>
      </c>
      <c r="G39" s="17" t="s">
        <v>40</v>
      </c>
      <c r="H39" s="17" t="s">
        <v>173</v>
      </c>
      <c r="I39" s="17" t="s">
        <v>40</v>
      </c>
      <c r="J39" s="17" t="s">
        <v>174</v>
      </c>
      <c r="K39" s="18" t="s">
        <v>53</v>
      </c>
      <c r="L39" s="18" t="s">
        <v>14</v>
      </c>
      <c r="M39" s="18" t="s">
        <v>46</v>
      </c>
      <c r="N39" s="18" t="s">
        <v>54</v>
      </c>
    </row>
    <row r="40" spans="2:14" ht="49.5" customHeight="1">
      <c r="B40" s="16">
        <v>38</v>
      </c>
      <c r="C40" s="17" t="s">
        <v>175</v>
      </c>
      <c r="D40" s="17" t="s">
        <v>40</v>
      </c>
      <c r="E40" s="17" t="s">
        <v>40</v>
      </c>
      <c r="F40" s="17" t="s">
        <v>40</v>
      </c>
      <c r="G40" s="17" t="s">
        <v>40</v>
      </c>
      <c r="H40" s="17" t="s">
        <v>176</v>
      </c>
      <c r="I40" s="17" t="s">
        <v>177</v>
      </c>
      <c r="J40" s="17" t="s">
        <v>40</v>
      </c>
      <c r="K40" s="18" t="s">
        <v>171</v>
      </c>
      <c r="L40" s="18" t="s">
        <v>73</v>
      </c>
      <c r="M40" s="18" t="s">
        <v>74</v>
      </c>
      <c r="N40" s="18" t="s">
        <v>62</v>
      </c>
    </row>
    <row r="41" spans="2:14" ht="49.5" customHeight="1">
      <c r="B41" s="16">
        <v>39</v>
      </c>
      <c r="C41" s="17" t="s">
        <v>178</v>
      </c>
      <c r="D41" s="17" t="s">
        <v>40</v>
      </c>
      <c r="E41" s="17" t="s">
        <v>179</v>
      </c>
      <c r="F41" s="17" t="s">
        <v>51</v>
      </c>
      <c r="G41" s="17" t="s">
        <v>40</v>
      </c>
      <c r="H41" s="17" t="s">
        <v>180</v>
      </c>
      <c r="I41" s="17" t="s">
        <v>40</v>
      </c>
      <c r="J41" s="17" t="s">
        <v>181</v>
      </c>
      <c r="K41" s="18" t="s">
        <v>53</v>
      </c>
      <c r="L41" s="18" t="s">
        <v>14</v>
      </c>
      <c r="M41" s="18" t="s">
        <v>46</v>
      </c>
      <c r="N41" s="18" t="s">
        <v>54</v>
      </c>
    </row>
    <row r="42" spans="2:14" ht="49.5" customHeight="1">
      <c r="B42" s="16">
        <v>40</v>
      </c>
      <c r="C42" s="17" t="s">
        <v>182</v>
      </c>
      <c r="D42" s="17" t="s">
        <v>40</v>
      </c>
      <c r="E42" s="17" t="s">
        <v>40</v>
      </c>
      <c r="F42" s="17" t="s">
        <v>40</v>
      </c>
      <c r="G42" s="17" t="s">
        <v>40</v>
      </c>
      <c r="H42" s="17" t="s">
        <v>183</v>
      </c>
      <c r="I42" s="17" t="s">
        <v>184</v>
      </c>
      <c r="J42" s="17" t="s">
        <v>185</v>
      </c>
      <c r="K42" s="18" t="s">
        <v>171</v>
      </c>
      <c r="L42" s="18" t="s">
        <v>73</v>
      </c>
      <c r="M42" s="18" t="s">
        <v>74</v>
      </c>
      <c r="N42" s="18" t="s">
        <v>62</v>
      </c>
    </row>
    <row r="43" spans="2:14" ht="49.5" customHeight="1">
      <c r="B43" s="16">
        <v>41</v>
      </c>
      <c r="C43" s="17" t="s">
        <v>186</v>
      </c>
      <c r="D43" s="17" t="s">
        <v>40</v>
      </c>
      <c r="E43" s="17" t="s">
        <v>40</v>
      </c>
      <c r="F43" s="17" t="s">
        <v>40</v>
      </c>
      <c r="G43" s="17" t="s">
        <v>40</v>
      </c>
      <c r="H43" s="17" t="s">
        <v>187</v>
      </c>
      <c r="I43" s="17" t="s">
        <v>188</v>
      </c>
      <c r="J43" s="17" t="s">
        <v>40</v>
      </c>
      <c r="K43" s="18" t="s">
        <v>189</v>
      </c>
      <c r="L43" s="18" t="s">
        <v>73</v>
      </c>
      <c r="M43" s="18" t="s">
        <v>79</v>
      </c>
      <c r="N43" s="18" t="s">
        <v>62</v>
      </c>
    </row>
    <row r="44" spans="2:14" ht="49.5" customHeight="1">
      <c r="B44" s="16">
        <v>42</v>
      </c>
      <c r="C44" s="17" t="s">
        <v>63</v>
      </c>
      <c r="D44" s="17" t="s">
        <v>40</v>
      </c>
      <c r="E44" s="17" t="s">
        <v>190</v>
      </c>
      <c r="F44" s="17" t="s">
        <v>40</v>
      </c>
      <c r="G44" s="17" t="s">
        <v>40</v>
      </c>
      <c r="H44" s="17" t="s">
        <v>191</v>
      </c>
      <c r="I44" s="17" t="s">
        <v>192</v>
      </c>
      <c r="J44" s="17" t="s">
        <v>40</v>
      </c>
      <c r="K44" s="18" t="s">
        <v>167</v>
      </c>
      <c r="L44" s="18" t="s">
        <v>73</v>
      </c>
      <c r="M44" s="18" t="s">
        <v>74</v>
      </c>
      <c r="N44" s="18" t="s">
        <v>62</v>
      </c>
    </row>
    <row r="45" spans="2:14" ht="49.5" customHeight="1">
      <c r="B45" s="16">
        <v>43</v>
      </c>
      <c r="C45" s="17" t="s">
        <v>193</v>
      </c>
      <c r="D45" s="17" t="s">
        <v>40</v>
      </c>
      <c r="E45" s="17" t="s">
        <v>40</v>
      </c>
      <c r="F45" s="17" t="s">
        <v>40</v>
      </c>
      <c r="G45" s="17" t="s">
        <v>40</v>
      </c>
      <c r="H45" s="17" t="s">
        <v>194</v>
      </c>
      <c r="I45" s="17" t="s">
        <v>40</v>
      </c>
      <c r="J45" s="17" t="s">
        <v>195</v>
      </c>
      <c r="K45" s="18" t="s">
        <v>53</v>
      </c>
      <c r="L45" s="18" t="s">
        <v>14</v>
      </c>
      <c r="M45" s="18" t="s">
        <v>46</v>
      </c>
      <c r="N45" s="18" t="s">
        <v>54</v>
      </c>
    </row>
    <row r="46" spans="2:14" ht="49.5" customHeight="1">
      <c r="B46" s="16">
        <v>44</v>
      </c>
      <c r="C46" s="17" t="s">
        <v>196</v>
      </c>
      <c r="D46" s="17" t="s">
        <v>40</v>
      </c>
      <c r="E46" s="17" t="s">
        <v>40</v>
      </c>
      <c r="F46" s="17" t="s">
        <v>40</v>
      </c>
      <c r="G46" s="17" t="s">
        <v>40</v>
      </c>
      <c r="H46" s="17" t="s">
        <v>197</v>
      </c>
      <c r="I46" s="17" t="s">
        <v>198</v>
      </c>
      <c r="J46" s="17" t="s">
        <v>40</v>
      </c>
      <c r="K46" s="18" t="s">
        <v>189</v>
      </c>
      <c r="L46" s="18" t="s">
        <v>73</v>
      </c>
      <c r="M46" s="18" t="s">
        <v>79</v>
      </c>
      <c r="N46" s="18" t="s">
        <v>62</v>
      </c>
    </row>
    <row r="47" spans="2:14" ht="49.5" customHeight="1">
      <c r="B47" s="16">
        <v>45</v>
      </c>
      <c r="C47" s="17" t="s">
        <v>63</v>
      </c>
      <c r="D47" s="17" t="s">
        <v>40</v>
      </c>
      <c r="E47" s="17" t="s">
        <v>40</v>
      </c>
      <c r="F47" s="17" t="s">
        <v>40</v>
      </c>
      <c r="G47" s="17" t="s">
        <v>40</v>
      </c>
      <c r="H47" s="17" t="s">
        <v>199</v>
      </c>
      <c r="I47" s="17" t="s">
        <v>200</v>
      </c>
      <c r="J47" s="17" t="s">
        <v>40</v>
      </c>
      <c r="K47" s="18" t="s">
        <v>201</v>
      </c>
      <c r="L47" s="18" t="s">
        <v>73</v>
      </c>
      <c r="M47" s="18" t="s">
        <v>79</v>
      </c>
      <c r="N47" s="18" t="s">
        <v>62</v>
      </c>
    </row>
    <row r="48" spans="2:14" ht="49.5" customHeight="1">
      <c r="B48" s="16">
        <v>46</v>
      </c>
      <c r="C48" s="17" t="s">
        <v>202</v>
      </c>
      <c r="D48" s="17" t="s">
        <v>40</v>
      </c>
      <c r="E48" s="17" t="s">
        <v>40</v>
      </c>
      <c r="F48" s="17" t="s">
        <v>40</v>
      </c>
      <c r="G48" s="17" t="s">
        <v>40</v>
      </c>
      <c r="H48" s="17" t="s">
        <v>203</v>
      </c>
      <c r="I48" s="17" t="s">
        <v>204</v>
      </c>
      <c r="J48" s="17" t="s">
        <v>40</v>
      </c>
      <c r="K48" s="18" t="s">
        <v>205</v>
      </c>
      <c r="L48" s="18" t="s">
        <v>73</v>
      </c>
      <c r="M48" s="18" t="s">
        <v>79</v>
      </c>
      <c r="N48" s="18" t="s">
        <v>62</v>
      </c>
    </row>
    <row r="49" spans="2:14" ht="49.5" customHeight="1">
      <c r="B49" s="16">
        <v>47</v>
      </c>
      <c r="C49" s="17" t="s">
        <v>206</v>
      </c>
      <c r="D49" s="17" t="s">
        <v>40</v>
      </c>
      <c r="E49" s="17" t="s">
        <v>40</v>
      </c>
      <c r="F49" s="17" t="s">
        <v>40</v>
      </c>
      <c r="G49" s="17" t="s">
        <v>40</v>
      </c>
      <c r="H49" s="17" t="s">
        <v>207</v>
      </c>
      <c r="I49" s="17" t="s">
        <v>208</v>
      </c>
      <c r="J49" s="17" t="s">
        <v>207</v>
      </c>
      <c r="K49" s="18" t="s">
        <v>171</v>
      </c>
      <c r="L49" s="18" t="s">
        <v>73</v>
      </c>
      <c r="M49" s="18" t="s">
        <v>74</v>
      </c>
      <c r="N49" s="18" t="s">
        <v>62</v>
      </c>
    </row>
    <row r="50" spans="2:14" ht="49.5" customHeight="1">
      <c r="B50" s="16">
        <v>48</v>
      </c>
      <c r="C50" s="17" t="s">
        <v>63</v>
      </c>
      <c r="D50" s="17" t="s">
        <v>40</v>
      </c>
      <c r="E50" s="17" t="s">
        <v>40</v>
      </c>
      <c r="F50" s="17" t="s">
        <v>40</v>
      </c>
      <c r="G50" s="17" t="s">
        <v>40</v>
      </c>
      <c r="H50" s="17" t="s">
        <v>209</v>
      </c>
      <c r="I50" s="17" t="s">
        <v>210</v>
      </c>
      <c r="J50" s="17" t="s">
        <v>40</v>
      </c>
      <c r="K50" s="18" t="s">
        <v>211</v>
      </c>
      <c r="L50" s="18" t="s">
        <v>73</v>
      </c>
      <c r="M50" s="18" t="s">
        <v>74</v>
      </c>
      <c r="N50" s="18" t="s">
        <v>62</v>
      </c>
    </row>
    <row r="51" spans="2:14" ht="49.5" customHeight="1">
      <c r="B51" s="16">
        <v>49</v>
      </c>
      <c r="C51" s="17" t="s">
        <v>212</v>
      </c>
      <c r="D51" s="17" t="s">
        <v>40</v>
      </c>
      <c r="E51" s="17" t="s">
        <v>213</v>
      </c>
      <c r="F51" s="17" t="s">
        <v>214</v>
      </c>
      <c r="G51" s="17" t="s">
        <v>40</v>
      </c>
      <c r="H51" s="17" t="s">
        <v>215</v>
      </c>
      <c r="I51" s="17" t="s">
        <v>40</v>
      </c>
      <c r="J51" s="17" t="s">
        <v>216</v>
      </c>
      <c r="K51" s="18" t="s">
        <v>217</v>
      </c>
      <c r="L51" s="18" t="s">
        <v>60</v>
      </c>
      <c r="M51" s="18" t="s">
        <v>61</v>
      </c>
      <c r="N51" s="18" t="s">
        <v>62</v>
      </c>
    </row>
    <row r="52" spans="2:14" ht="49.5" customHeight="1">
      <c r="B52" s="16">
        <v>50</v>
      </c>
      <c r="C52" s="17" t="s">
        <v>218</v>
      </c>
      <c r="D52" s="17" t="s">
        <v>40</v>
      </c>
      <c r="E52" s="17" t="s">
        <v>40</v>
      </c>
      <c r="F52" s="17" t="s">
        <v>40</v>
      </c>
      <c r="G52" s="17" t="s">
        <v>40</v>
      </c>
      <c r="H52" s="17" t="s">
        <v>219</v>
      </c>
      <c r="I52" s="17" t="s">
        <v>40</v>
      </c>
      <c r="J52" s="17" t="s">
        <v>220</v>
      </c>
      <c r="K52" s="18" t="s">
        <v>53</v>
      </c>
      <c r="L52" s="18" t="s">
        <v>14</v>
      </c>
      <c r="M52" s="18" t="s">
        <v>46</v>
      </c>
      <c r="N52" s="18" t="s">
        <v>54</v>
      </c>
    </row>
    <row r="53" spans="2:14" ht="49.5" customHeight="1">
      <c r="B53" s="16">
        <v>51</v>
      </c>
      <c r="C53" s="17" t="s">
        <v>135</v>
      </c>
      <c r="D53" s="17" t="s">
        <v>40</v>
      </c>
      <c r="E53" s="17" t="s">
        <v>40</v>
      </c>
      <c r="F53" s="17" t="s">
        <v>40</v>
      </c>
      <c r="G53" s="17" t="s">
        <v>40</v>
      </c>
      <c r="H53" s="17" t="s">
        <v>219</v>
      </c>
      <c r="I53" s="17" t="s">
        <v>40</v>
      </c>
      <c r="J53" s="17" t="s">
        <v>221</v>
      </c>
      <c r="K53" s="18" t="s">
        <v>53</v>
      </c>
      <c r="L53" s="18" t="s">
        <v>14</v>
      </c>
      <c r="M53" s="18" t="s">
        <v>46</v>
      </c>
      <c r="N53" s="18" t="s">
        <v>54</v>
      </c>
    </row>
    <row r="54" spans="2:14" ht="49.5" customHeight="1">
      <c r="B54" s="16">
        <v>52</v>
      </c>
      <c r="C54" s="17" t="s">
        <v>193</v>
      </c>
      <c r="D54" s="17" t="s">
        <v>40</v>
      </c>
      <c r="E54" s="17" t="s">
        <v>222</v>
      </c>
      <c r="F54" s="17" t="s">
        <v>223</v>
      </c>
      <c r="G54" s="17" t="s">
        <v>40</v>
      </c>
      <c r="H54" s="17" t="s">
        <v>224</v>
      </c>
      <c r="I54" s="17" t="s">
        <v>40</v>
      </c>
      <c r="J54" s="17" t="s">
        <v>225</v>
      </c>
      <c r="K54" s="18" t="s">
        <v>226</v>
      </c>
      <c r="L54" s="18" t="s">
        <v>60</v>
      </c>
      <c r="M54" s="18" t="s">
        <v>74</v>
      </c>
      <c r="N54" s="18" t="s">
        <v>62</v>
      </c>
    </row>
    <row r="55" spans="2:14" ht="49.5" customHeight="1">
      <c r="B55" s="16">
        <v>53</v>
      </c>
      <c r="C55" s="17" t="s">
        <v>227</v>
      </c>
      <c r="D55" s="17" t="s">
        <v>40</v>
      </c>
      <c r="E55" s="17" t="s">
        <v>40</v>
      </c>
      <c r="F55" s="17" t="s">
        <v>228</v>
      </c>
      <c r="G55" s="17" t="s">
        <v>40</v>
      </c>
      <c r="H55" s="17" t="s">
        <v>229</v>
      </c>
      <c r="I55" s="17" t="s">
        <v>40</v>
      </c>
      <c r="J55" s="17" t="s">
        <v>40</v>
      </c>
      <c r="K55" s="18" t="s">
        <v>156</v>
      </c>
      <c r="L55" s="18" t="s">
        <v>60</v>
      </c>
      <c r="M55" s="18" t="s">
        <v>61</v>
      </c>
      <c r="N55" s="18" t="s">
        <v>62</v>
      </c>
    </row>
    <row r="56" spans="2:14" ht="49.5" customHeight="1">
      <c r="B56" s="16">
        <v>54</v>
      </c>
      <c r="C56" s="17" t="s">
        <v>63</v>
      </c>
      <c r="D56" s="17" t="s">
        <v>40</v>
      </c>
      <c r="E56" s="17" t="s">
        <v>40</v>
      </c>
      <c r="F56" s="17" t="s">
        <v>40</v>
      </c>
      <c r="G56" s="17" t="s">
        <v>40</v>
      </c>
      <c r="H56" s="17" t="s">
        <v>209</v>
      </c>
      <c r="I56" s="17" t="s">
        <v>230</v>
      </c>
      <c r="J56" s="17" t="s">
        <v>40</v>
      </c>
      <c r="K56" s="18" t="s">
        <v>211</v>
      </c>
      <c r="L56" s="18" t="s">
        <v>73</v>
      </c>
      <c r="M56" s="18" t="s">
        <v>74</v>
      </c>
      <c r="N56" s="18" t="s">
        <v>62</v>
      </c>
    </row>
    <row r="57" spans="2:14" ht="49.5" customHeight="1">
      <c r="B57" s="16">
        <v>55</v>
      </c>
      <c r="C57" s="17" t="s">
        <v>69</v>
      </c>
      <c r="D57" s="17" t="s">
        <v>40</v>
      </c>
      <c r="E57" s="17" t="s">
        <v>40</v>
      </c>
      <c r="F57" s="17" t="s">
        <v>40</v>
      </c>
      <c r="G57" s="17" t="s">
        <v>40</v>
      </c>
      <c r="H57" s="17" t="s">
        <v>231</v>
      </c>
      <c r="I57" s="17" t="s">
        <v>232</v>
      </c>
      <c r="J57" s="17" t="s">
        <v>233</v>
      </c>
      <c r="K57" s="18" t="s">
        <v>234</v>
      </c>
      <c r="L57" s="18" t="s">
        <v>73</v>
      </c>
      <c r="M57" s="18" t="s">
        <v>74</v>
      </c>
      <c r="N57" s="18" t="s">
        <v>62</v>
      </c>
    </row>
    <row r="58" spans="2:14" ht="49.5" customHeight="1">
      <c r="B58" s="16">
        <v>56</v>
      </c>
      <c r="C58" s="17" t="s">
        <v>108</v>
      </c>
      <c r="D58" s="17" t="s">
        <v>40</v>
      </c>
      <c r="E58" s="17" t="s">
        <v>40</v>
      </c>
      <c r="F58" s="17" t="s">
        <v>40</v>
      </c>
      <c r="G58" s="17" t="s">
        <v>40</v>
      </c>
      <c r="H58" s="17" t="s">
        <v>235</v>
      </c>
      <c r="I58" s="17" t="s">
        <v>40</v>
      </c>
      <c r="J58" s="17" t="s">
        <v>236</v>
      </c>
      <c r="K58" s="18" t="s">
        <v>53</v>
      </c>
      <c r="L58" s="18" t="s">
        <v>14</v>
      </c>
      <c r="M58" s="18" t="s">
        <v>46</v>
      </c>
      <c r="N58" s="18" t="s">
        <v>54</v>
      </c>
    </row>
    <row r="59" spans="2:14" ht="49.5" customHeight="1">
      <c r="B59" s="16">
        <v>57</v>
      </c>
      <c r="C59" s="17" t="s">
        <v>237</v>
      </c>
      <c r="D59" s="17" t="s">
        <v>40</v>
      </c>
      <c r="E59" s="17" t="s">
        <v>40</v>
      </c>
      <c r="F59" s="17" t="s">
        <v>40</v>
      </c>
      <c r="G59" s="17" t="s">
        <v>40</v>
      </c>
      <c r="H59" s="17" t="s">
        <v>238</v>
      </c>
      <c r="I59" s="17" t="s">
        <v>40</v>
      </c>
      <c r="J59" s="17" t="s">
        <v>239</v>
      </c>
      <c r="K59" s="18" t="s">
        <v>53</v>
      </c>
      <c r="L59" s="18" t="s">
        <v>14</v>
      </c>
      <c r="M59" s="18" t="s">
        <v>46</v>
      </c>
      <c r="N59" s="18" t="s">
        <v>54</v>
      </c>
    </row>
    <row r="60" spans="2:14" ht="49.5" customHeight="1">
      <c r="B60" s="16">
        <v>58</v>
      </c>
      <c r="C60" s="17" t="s">
        <v>63</v>
      </c>
      <c r="D60" s="17" t="s">
        <v>40</v>
      </c>
      <c r="E60" s="17" t="s">
        <v>240</v>
      </c>
      <c r="F60" s="17" t="s">
        <v>40</v>
      </c>
      <c r="G60" s="17" t="s">
        <v>40</v>
      </c>
      <c r="H60" s="17" t="s">
        <v>241</v>
      </c>
      <c r="I60" s="17" t="s">
        <v>40</v>
      </c>
      <c r="J60" s="17" t="s">
        <v>242</v>
      </c>
      <c r="K60" s="18" t="s">
        <v>53</v>
      </c>
      <c r="L60" s="18" t="s">
        <v>14</v>
      </c>
      <c r="M60" s="18" t="s">
        <v>46</v>
      </c>
      <c r="N60" s="18" t="s">
        <v>54</v>
      </c>
    </row>
    <row r="61" spans="2:14" ht="49.5" customHeight="1">
      <c r="B61" s="16">
        <v>59</v>
      </c>
      <c r="C61" s="17" t="s">
        <v>243</v>
      </c>
      <c r="D61" s="17" t="s">
        <v>40</v>
      </c>
      <c r="E61" s="17" t="s">
        <v>40</v>
      </c>
      <c r="F61" s="17" t="s">
        <v>40</v>
      </c>
      <c r="G61" s="17" t="s">
        <v>40</v>
      </c>
      <c r="H61" s="17" t="s">
        <v>244</v>
      </c>
      <c r="I61" s="17" t="s">
        <v>245</v>
      </c>
      <c r="J61" s="17" t="s">
        <v>246</v>
      </c>
      <c r="K61" s="18" t="s">
        <v>211</v>
      </c>
      <c r="L61" s="18" t="s">
        <v>73</v>
      </c>
      <c r="M61" s="18" t="s">
        <v>74</v>
      </c>
      <c r="N61" s="18" t="s">
        <v>62</v>
      </c>
    </row>
    <row r="62" spans="2:14" ht="49.5" customHeight="1">
      <c r="B62" s="16">
        <v>60</v>
      </c>
      <c r="C62" s="17" t="s">
        <v>247</v>
      </c>
      <c r="D62" s="17" t="s">
        <v>40</v>
      </c>
      <c r="E62" s="17" t="s">
        <v>40</v>
      </c>
      <c r="F62" s="17" t="s">
        <v>40</v>
      </c>
      <c r="G62" s="17" t="s">
        <v>40</v>
      </c>
      <c r="H62" s="17" t="s">
        <v>248</v>
      </c>
      <c r="I62" s="17" t="s">
        <v>249</v>
      </c>
      <c r="J62" s="17" t="s">
        <v>250</v>
      </c>
      <c r="K62" s="18" t="s">
        <v>251</v>
      </c>
      <c r="L62" s="18" t="s">
        <v>73</v>
      </c>
      <c r="M62" s="18" t="s">
        <v>61</v>
      </c>
      <c r="N62" s="18" t="s">
        <v>62</v>
      </c>
    </row>
    <row r="63" spans="2:14" ht="49.5" customHeight="1">
      <c r="B63" s="16">
        <v>61</v>
      </c>
      <c r="C63" s="17" t="s">
        <v>252</v>
      </c>
      <c r="D63" s="17" t="s">
        <v>40</v>
      </c>
      <c r="E63" s="17" t="s">
        <v>253</v>
      </c>
      <c r="F63" s="17" t="s">
        <v>51</v>
      </c>
      <c r="G63" s="17" t="s">
        <v>254</v>
      </c>
      <c r="H63" s="17" t="s">
        <v>254</v>
      </c>
      <c r="I63" s="17" t="s">
        <v>40</v>
      </c>
      <c r="J63" s="17" t="s">
        <v>255</v>
      </c>
      <c r="K63" s="18" t="s">
        <v>254</v>
      </c>
      <c r="L63" s="18" t="s">
        <v>45</v>
      </c>
      <c r="M63" s="18" t="s">
        <v>46</v>
      </c>
      <c r="N63" s="18" t="s">
        <v>47</v>
      </c>
    </row>
    <row r="64" spans="2:14" ht="49.5" customHeight="1">
      <c r="B64" s="16">
        <v>62</v>
      </c>
      <c r="C64" s="17" t="s">
        <v>256</v>
      </c>
      <c r="D64" s="17" t="s">
        <v>40</v>
      </c>
      <c r="E64" s="17" t="s">
        <v>40</v>
      </c>
      <c r="F64" s="17" t="s">
        <v>40</v>
      </c>
      <c r="G64" s="17" t="s">
        <v>40</v>
      </c>
      <c r="H64" s="17" t="s">
        <v>257</v>
      </c>
      <c r="I64" s="17" t="s">
        <v>258</v>
      </c>
      <c r="J64" s="17" t="s">
        <v>259</v>
      </c>
      <c r="K64" s="18" t="s">
        <v>260</v>
      </c>
      <c r="L64" s="18" t="s">
        <v>73</v>
      </c>
      <c r="M64" s="18" t="s">
        <v>79</v>
      </c>
      <c r="N64" s="18" t="s">
        <v>62</v>
      </c>
    </row>
    <row r="65" spans="2:14" ht="49.5" customHeight="1">
      <c r="B65" s="16">
        <v>63</v>
      </c>
      <c r="C65" s="17" t="s">
        <v>206</v>
      </c>
      <c r="D65" s="17" t="s">
        <v>40</v>
      </c>
      <c r="E65" s="17" t="s">
        <v>40</v>
      </c>
      <c r="F65" s="17" t="s">
        <v>40</v>
      </c>
      <c r="G65" s="17" t="s">
        <v>40</v>
      </c>
      <c r="H65" s="17" t="s">
        <v>261</v>
      </c>
      <c r="I65" s="17" t="s">
        <v>262</v>
      </c>
      <c r="J65" s="17" t="s">
        <v>40</v>
      </c>
      <c r="K65" s="18" t="s">
        <v>263</v>
      </c>
      <c r="L65" s="18" t="s">
        <v>73</v>
      </c>
      <c r="M65" s="18" t="s">
        <v>79</v>
      </c>
      <c r="N65" s="18" t="s">
        <v>62</v>
      </c>
    </row>
    <row r="66" spans="2:14" ht="49.5" customHeight="1">
      <c r="B66" s="16">
        <v>64</v>
      </c>
      <c r="C66" s="17" t="s">
        <v>264</v>
      </c>
      <c r="D66" s="17" t="s">
        <v>40</v>
      </c>
      <c r="E66" s="17" t="s">
        <v>40</v>
      </c>
      <c r="F66" s="17" t="s">
        <v>265</v>
      </c>
      <c r="G66" s="17" t="s">
        <v>40</v>
      </c>
      <c r="H66" s="17" t="s">
        <v>266</v>
      </c>
      <c r="I66" s="17" t="s">
        <v>40</v>
      </c>
      <c r="J66" s="17" t="s">
        <v>267</v>
      </c>
      <c r="K66" s="18" t="s">
        <v>156</v>
      </c>
      <c r="L66" s="18" t="s">
        <v>60</v>
      </c>
      <c r="M66" s="18" t="s">
        <v>61</v>
      </c>
      <c r="N66" s="18" t="s">
        <v>62</v>
      </c>
    </row>
    <row r="67" spans="2:14" ht="49.5" customHeight="1">
      <c r="B67" s="16">
        <v>65</v>
      </c>
      <c r="C67" s="17" t="s">
        <v>268</v>
      </c>
      <c r="D67" s="17" t="s">
        <v>40</v>
      </c>
      <c r="E67" s="17" t="s">
        <v>40</v>
      </c>
      <c r="F67" s="17" t="s">
        <v>40</v>
      </c>
      <c r="G67" s="17" t="s">
        <v>40</v>
      </c>
      <c r="H67" s="17" t="s">
        <v>269</v>
      </c>
      <c r="I67" s="17" t="s">
        <v>270</v>
      </c>
      <c r="J67" s="17" t="s">
        <v>271</v>
      </c>
      <c r="K67" s="18" t="s">
        <v>138</v>
      </c>
      <c r="L67" s="18" t="s">
        <v>73</v>
      </c>
      <c r="M67" s="18" t="s">
        <v>74</v>
      </c>
      <c r="N67" s="18" t="s">
        <v>62</v>
      </c>
    </row>
    <row r="68" spans="2:14" ht="49.5" customHeight="1">
      <c r="B68" s="16">
        <v>66</v>
      </c>
      <c r="C68" s="17" t="s">
        <v>264</v>
      </c>
      <c r="D68" s="17" t="s">
        <v>40</v>
      </c>
      <c r="E68" s="17" t="s">
        <v>40</v>
      </c>
      <c r="F68" s="17" t="s">
        <v>40</v>
      </c>
      <c r="G68" s="17" t="s">
        <v>40</v>
      </c>
      <c r="H68" s="17" t="s">
        <v>272</v>
      </c>
      <c r="I68" s="17" t="s">
        <v>273</v>
      </c>
      <c r="J68" s="17" t="s">
        <v>40</v>
      </c>
      <c r="K68" s="18" t="s">
        <v>211</v>
      </c>
      <c r="L68" s="18" t="s">
        <v>73</v>
      </c>
      <c r="M68" s="18" t="s">
        <v>74</v>
      </c>
      <c r="N68" s="18" t="s">
        <v>62</v>
      </c>
    </row>
    <row r="69" spans="2:14" ht="49.5" customHeight="1">
      <c r="B69" s="16">
        <v>67</v>
      </c>
      <c r="C69" s="17" t="s">
        <v>274</v>
      </c>
      <c r="D69" s="17" t="s">
        <v>40</v>
      </c>
      <c r="E69" s="17" t="s">
        <v>275</v>
      </c>
      <c r="F69" s="17" t="s">
        <v>276</v>
      </c>
      <c r="G69" s="17" t="s">
        <v>277</v>
      </c>
      <c r="H69" s="17" t="s">
        <v>278</v>
      </c>
      <c r="I69" s="17" t="s">
        <v>40</v>
      </c>
      <c r="J69" s="17" t="s">
        <v>279</v>
      </c>
      <c r="K69" s="18" t="s">
        <v>277</v>
      </c>
      <c r="L69" s="18" t="s">
        <v>45</v>
      </c>
      <c r="M69" s="18" t="s">
        <v>46</v>
      </c>
      <c r="N69" s="18" t="s">
        <v>47</v>
      </c>
    </row>
    <row r="70" spans="2:14" ht="49.5" customHeight="1">
      <c r="B70" s="16">
        <v>68</v>
      </c>
      <c r="C70" s="17" t="s">
        <v>280</v>
      </c>
      <c r="D70" s="17" t="s">
        <v>40</v>
      </c>
      <c r="E70" s="17" t="s">
        <v>281</v>
      </c>
      <c r="F70" s="17" t="s">
        <v>40</v>
      </c>
      <c r="G70" s="17" t="s">
        <v>282</v>
      </c>
      <c r="H70" s="17" t="s">
        <v>283</v>
      </c>
      <c r="I70" s="17" t="s">
        <v>40</v>
      </c>
      <c r="J70" s="17" t="s">
        <v>284</v>
      </c>
      <c r="K70" s="18" t="s">
        <v>282</v>
      </c>
      <c r="L70" s="18" t="s">
        <v>45</v>
      </c>
      <c r="M70" s="18" t="s">
        <v>46</v>
      </c>
      <c r="N70" s="18" t="s">
        <v>47</v>
      </c>
    </row>
    <row r="71" spans="2:14" ht="49.5" customHeight="1">
      <c r="B71" s="16">
        <v>69</v>
      </c>
      <c r="C71" s="17" t="s">
        <v>285</v>
      </c>
      <c r="D71" s="17" t="s">
        <v>40</v>
      </c>
      <c r="E71" s="17" t="s">
        <v>286</v>
      </c>
      <c r="F71" s="17" t="s">
        <v>287</v>
      </c>
      <c r="G71" s="17" t="s">
        <v>40</v>
      </c>
      <c r="H71" s="17" t="s">
        <v>288</v>
      </c>
      <c r="I71" s="17" t="s">
        <v>40</v>
      </c>
      <c r="J71" s="17" t="s">
        <v>289</v>
      </c>
      <c r="K71" s="18" t="s">
        <v>226</v>
      </c>
      <c r="L71" s="18" t="s">
        <v>60</v>
      </c>
      <c r="M71" s="18" t="s">
        <v>74</v>
      </c>
      <c r="N71" s="18" t="s">
        <v>62</v>
      </c>
    </row>
    <row r="72" spans="2:14" ht="49.5" customHeight="1">
      <c r="B72" s="16">
        <v>70</v>
      </c>
      <c r="C72" s="17" t="s">
        <v>48</v>
      </c>
      <c r="D72" s="17" t="s">
        <v>40</v>
      </c>
      <c r="E72" s="17" t="s">
        <v>290</v>
      </c>
      <c r="F72" s="17" t="s">
        <v>40</v>
      </c>
      <c r="G72" s="17" t="s">
        <v>40</v>
      </c>
      <c r="H72" s="17" t="s">
        <v>291</v>
      </c>
      <c r="I72" s="17" t="s">
        <v>40</v>
      </c>
      <c r="J72" s="17" t="s">
        <v>292</v>
      </c>
      <c r="K72" s="18" t="s">
        <v>53</v>
      </c>
      <c r="L72" s="18" t="s">
        <v>14</v>
      </c>
      <c r="M72" s="18" t="s">
        <v>46</v>
      </c>
      <c r="N72" s="18" t="s">
        <v>54</v>
      </c>
    </row>
    <row r="73" spans="2:14" ht="49.5" customHeight="1">
      <c r="B73" s="16">
        <v>71</v>
      </c>
      <c r="C73" s="17" t="s">
        <v>63</v>
      </c>
      <c r="D73" s="17" t="s">
        <v>40</v>
      </c>
      <c r="E73" s="17" t="s">
        <v>40</v>
      </c>
      <c r="F73" s="17" t="s">
        <v>40</v>
      </c>
      <c r="G73" s="17" t="s">
        <v>40</v>
      </c>
      <c r="H73" s="17" t="s">
        <v>293</v>
      </c>
      <c r="I73" s="17" t="s">
        <v>40</v>
      </c>
      <c r="J73" s="17" t="s">
        <v>40</v>
      </c>
      <c r="K73" s="18" t="s">
        <v>53</v>
      </c>
      <c r="L73" s="18" t="s">
        <v>14</v>
      </c>
      <c r="M73" s="18" t="s">
        <v>46</v>
      </c>
      <c r="N73" s="18" t="s">
        <v>54</v>
      </c>
    </row>
    <row r="74" spans="2:14" ht="49.5" customHeight="1">
      <c r="B74" s="16">
        <v>72</v>
      </c>
      <c r="C74" s="17" t="s">
        <v>294</v>
      </c>
      <c r="D74" s="17" t="s">
        <v>40</v>
      </c>
      <c r="E74" s="17" t="s">
        <v>40</v>
      </c>
      <c r="F74" s="17" t="s">
        <v>40</v>
      </c>
      <c r="G74" s="17" t="s">
        <v>40</v>
      </c>
      <c r="H74" s="17" t="s">
        <v>295</v>
      </c>
      <c r="I74" s="17" t="s">
        <v>296</v>
      </c>
      <c r="J74" s="17" t="s">
        <v>297</v>
      </c>
      <c r="K74" s="18" t="s">
        <v>251</v>
      </c>
      <c r="L74" s="18" t="s">
        <v>73</v>
      </c>
      <c r="M74" s="18" t="s">
        <v>61</v>
      </c>
      <c r="N74" s="18" t="s">
        <v>62</v>
      </c>
    </row>
    <row r="75" spans="2:14" ht="49.5" customHeight="1">
      <c r="B75" s="16">
        <v>73</v>
      </c>
      <c r="C75" s="17" t="s">
        <v>93</v>
      </c>
      <c r="D75" s="17" t="s">
        <v>40</v>
      </c>
      <c r="E75" s="17" t="s">
        <v>298</v>
      </c>
      <c r="F75" s="17" t="s">
        <v>40</v>
      </c>
      <c r="G75" s="17" t="s">
        <v>299</v>
      </c>
      <c r="H75" s="17" t="s">
        <v>300</v>
      </c>
      <c r="I75" s="17" t="s">
        <v>40</v>
      </c>
      <c r="J75" s="17" t="s">
        <v>301</v>
      </c>
      <c r="K75" s="18" t="s">
        <v>299</v>
      </c>
      <c r="L75" s="18" t="s">
        <v>45</v>
      </c>
      <c r="M75" s="18" t="s">
        <v>46</v>
      </c>
      <c r="N75" s="18" t="s">
        <v>47</v>
      </c>
    </row>
    <row r="76" spans="2:14" ht="49.5" customHeight="1">
      <c r="B76" s="16">
        <v>74</v>
      </c>
      <c r="C76" s="17" t="s">
        <v>302</v>
      </c>
      <c r="D76" s="17" t="s">
        <v>40</v>
      </c>
      <c r="E76" s="17" t="s">
        <v>40</v>
      </c>
      <c r="F76" s="17" t="s">
        <v>40</v>
      </c>
      <c r="G76" s="17" t="s">
        <v>40</v>
      </c>
      <c r="H76" s="17" t="s">
        <v>303</v>
      </c>
      <c r="I76" s="17" t="s">
        <v>304</v>
      </c>
      <c r="J76" s="17" t="s">
        <v>40</v>
      </c>
      <c r="K76" s="18" t="s">
        <v>251</v>
      </c>
      <c r="L76" s="18" t="s">
        <v>73</v>
      </c>
      <c r="M76" s="18" t="s">
        <v>61</v>
      </c>
      <c r="N76" s="18" t="s">
        <v>62</v>
      </c>
    </row>
    <row r="77" spans="2:14" ht="49.5" customHeight="1">
      <c r="B77" s="16">
        <v>75</v>
      </c>
      <c r="C77" s="17" t="s">
        <v>206</v>
      </c>
      <c r="D77" s="17" t="s">
        <v>40</v>
      </c>
      <c r="E77" s="17" t="s">
        <v>40</v>
      </c>
      <c r="F77" s="17" t="s">
        <v>40</v>
      </c>
      <c r="G77" s="17" t="s">
        <v>40</v>
      </c>
      <c r="H77" s="17" t="s">
        <v>305</v>
      </c>
      <c r="I77" s="17" t="s">
        <v>306</v>
      </c>
      <c r="J77" s="17" t="s">
        <v>40</v>
      </c>
      <c r="K77" s="18" t="s">
        <v>140</v>
      </c>
      <c r="L77" s="18" t="s">
        <v>73</v>
      </c>
      <c r="M77" s="18" t="s">
        <v>79</v>
      </c>
      <c r="N77" s="18" t="s">
        <v>62</v>
      </c>
    </row>
    <row r="78" spans="2:14" ht="49.5" customHeight="1">
      <c r="B78" s="16">
        <v>76</v>
      </c>
      <c r="C78" s="17" t="s">
        <v>202</v>
      </c>
      <c r="D78" s="17" t="s">
        <v>40</v>
      </c>
      <c r="E78" s="17" t="s">
        <v>40</v>
      </c>
      <c r="F78" s="17" t="s">
        <v>40</v>
      </c>
      <c r="G78" s="17" t="s">
        <v>40</v>
      </c>
      <c r="H78" s="17" t="s">
        <v>307</v>
      </c>
      <c r="I78" s="17" t="s">
        <v>308</v>
      </c>
      <c r="J78" s="17" t="s">
        <v>40</v>
      </c>
      <c r="K78" s="18" t="s">
        <v>140</v>
      </c>
      <c r="L78" s="18" t="s">
        <v>73</v>
      </c>
      <c r="M78" s="18" t="s">
        <v>79</v>
      </c>
      <c r="N78" s="18" t="s">
        <v>62</v>
      </c>
    </row>
    <row r="79" spans="2:14" ht="49.5" customHeight="1">
      <c r="B79" s="16">
        <v>77</v>
      </c>
      <c r="C79" s="17" t="s">
        <v>309</v>
      </c>
      <c r="D79" s="17" t="s">
        <v>40</v>
      </c>
      <c r="E79" s="17" t="s">
        <v>40</v>
      </c>
      <c r="F79" s="17" t="s">
        <v>40</v>
      </c>
      <c r="G79" s="17" t="s">
        <v>40</v>
      </c>
      <c r="H79" s="17" t="s">
        <v>310</v>
      </c>
      <c r="I79" s="17" t="s">
        <v>311</v>
      </c>
      <c r="J79" s="17" t="s">
        <v>40</v>
      </c>
      <c r="K79" s="18" t="s">
        <v>312</v>
      </c>
      <c r="L79" s="18" t="s">
        <v>73</v>
      </c>
      <c r="M79" s="18" t="s">
        <v>79</v>
      </c>
      <c r="N79" s="18" t="s">
        <v>62</v>
      </c>
    </row>
    <row r="80" spans="2:14" ht="49.5" customHeight="1">
      <c r="B80" s="16">
        <v>78</v>
      </c>
      <c r="C80" s="17" t="s">
        <v>206</v>
      </c>
      <c r="D80" s="17" t="s">
        <v>40</v>
      </c>
      <c r="E80" s="17" t="s">
        <v>40</v>
      </c>
      <c r="F80" s="17" t="s">
        <v>40</v>
      </c>
      <c r="G80" s="17" t="s">
        <v>40</v>
      </c>
      <c r="H80" s="17" t="s">
        <v>313</v>
      </c>
      <c r="I80" s="17" t="s">
        <v>314</v>
      </c>
      <c r="J80" s="17" t="s">
        <v>40</v>
      </c>
      <c r="K80" s="18" t="s">
        <v>312</v>
      </c>
      <c r="L80" s="18" t="s">
        <v>73</v>
      </c>
      <c r="M80" s="18" t="s">
        <v>79</v>
      </c>
      <c r="N80" s="18" t="s">
        <v>62</v>
      </c>
    </row>
    <row r="81" spans="2:14" ht="49.5" customHeight="1">
      <c r="B81" s="16">
        <v>79</v>
      </c>
      <c r="C81" s="17" t="s">
        <v>63</v>
      </c>
      <c r="D81" s="17" t="s">
        <v>40</v>
      </c>
      <c r="E81" s="17" t="s">
        <v>40</v>
      </c>
      <c r="F81" s="17" t="s">
        <v>40</v>
      </c>
      <c r="G81" s="17" t="s">
        <v>40</v>
      </c>
      <c r="H81" s="17" t="s">
        <v>315</v>
      </c>
      <c r="I81" s="17" t="s">
        <v>316</v>
      </c>
      <c r="J81" s="17" t="s">
        <v>40</v>
      </c>
      <c r="K81" s="18" t="s">
        <v>140</v>
      </c>
      <c r="L81" s="18" t="s">
        <v>73</v>
      </c>
      <c r="M81" s="18" t="s">
        <v>79</v>
      </c>
      <c r="N81" s="18" t="s">
        <v>62</v>
      </c>
    </row>
    <row r="82" spans="2:14" ht="49.5" customHeight="1">
      <c r="B82" s="16">
        <v>80</v>
      </c>
      <c r="C82" s="17" t="s">
        <v>63</v>
      </c>
      <c r="D82" s="17" t="s">
        <v>40</v>
      </c>
      <c r="E82" s="17" t="s">
        <v>40</v>
      </c>
      <c r="F82" s="17" t="s">
        <v>40</v>
      </c>
      <c r="G82" s="17" t="s">
        <v>40</v>
      </c>
      <c r="H82" s="17" t="s">
        <v>40</v>
      </c>
      <c r="I82" s="17" t="s">
        <v>317</v>
      </c>
      <c r="J82" s="17" t="s">
        <v>318</v>
      </c>
      <c r="K82" s="18" t="s">
        <v>312</v>
      </c>
      <c r="L82" s="18" t="s">
        <v>73</v>
      </c>
      <c r="M82" s="18" t="s">
        <v>79</v>
      </c>
      <c r="N82" s="18" t="s">
        <v>62</v>
      </c>
    </row>
    <row r="83" spans="2:14" ht="49.5" customHeight="1">
      <c r="B83" s="16">
        <v>81</v>
      </c>
      <c r="C83" s="17" t="s">
        <v>48</v>
      </c>
      <c r="D83" s="17" t="s">
        <v>40</v>
      </c>
      <c r="E83" s="17" t="s">
        <v>319</v>
      </c>
      <c r="F83" s="17" t="s">
        <v>40</v>
      </c>
      <c r="G83" s="17" t="s">
        <v>40</v>
      </c>
      <c r="H83" s="17" t="s">
        <v>320</v>
      </c>
      <c r="I83" s="17" t="s">
        <v>40</v>
      </c>
      <c r="J83" s="17" t="s">
        <v>321</v>
      </c>
      <c r="K83" s="18" t="s">
        <v>53</v>
      </c>
      <c r="L83" s="18" t="s">
        <v>14</v>
      </c>
      <c r="M83" s="18" t="s">
        <v>46</v>
      </c>
      <c r="N83" s="18" t="s">
        <v>54</v>
      </c>
    </row>
    <row r="84" spans="2:14" ht="49.5" customHeight="1">
      <c r="B84" s="16">
        <v>82</v>
      </c>
      <c r="C84" s="17" t="s">
        <v>247</v>
      </c>
      <c r="D84" s="17" t="s">
        <v>40</v>
      </c>
      <c r="E84" s="17" t="s">
        <v>40</v>
      </c>
      <c r="F84" s="17" t="s">
        <v>40</v>
      </c>
      <c r="G84" s="17" t="s">
        <v>40</v>
      </c>
      <c r="H84" s="17" t="s">
        <v>322</v>
      </c>
      <c r="I84" s="17" t="s">
        <v>323</v>
      </c>
      <c r="J84" s="17" t="s">
        <v>40</v>
      </c>
      <c r="K84" s="18" t="s">
        <v>324</v>
      </c>
      <c r="L84" s="18" t="s">
        <v>73</v>
      </c>
      <c r="M84" s="18" t="s">
        <v>79</v>
      </c>
      <c r="N84" s="18" t="s">
        <v>62</v>
      </c>
    </row>
    <row r="85" spans="2:14" ht="49.5" customHeight="1">
      <c r="B85" s="16">
        <v>83</v>
      </c>
      <c r="C85" s="17" t="s">
        <v>63</v>
      </c>
      <c r="D85" s="17" t="s">
        <v>40</v>
      </c>
      <c r="E85" s="17" t="s">
        <v>40</v>
      </c>
      <c r="F85" s="17" t="s">
        <v>40</v>
      </c>
      <c r="G85" s="17" t="s">
        <v>40</v>
      </c>
      <c r="H85" s="17" t="s">
        <v>209</v>
      </c>
      <c r="I85" s="17" t="s">
        <v>325</v>
      </c>
      <c r="J85" s="17" t="s">
        <v>40</v>
      </c>
      <c r="K85" s="18" t="s">
        <v>211</v>
      </c>
      <c r="L85" s="18" t="s">
        <v>73</v>
      </c>
      <c r="M85" s="18" t="s">
        <v>74</v>
      </c>
      <c r="N85" s="18" t="s">
        <v>62</v>
      </c>
    </row>
    <row r="86" spans="2:14" ht="49.5" customHeight="1">
      <c r="B86" s="16">
        <v>84</v>
      </c>
      <c r="C86" s="17" t="s">
        <v>63</v>
      </c>
      <c r="D86" s="17" t="s">
        <v>40</v>
      </c>
      <c r="E86" s="17" t="s">
        <v>40</v>
      </c>
      <c r="F86" s="17" t="s">
        <v>40</v>
      </c>
      <c r="G86" s="17" t="s">
        <v>40</v>
      </c>
      <c r="H86" s="17" t="s">
        <v>40</v>
      </c>
      <c r="I86" s="17" t="s">
        <v>326</v>
      </c>
      <c r="J86" s="17" t="s">
        <v>40</v>
      </c>
      <c r="K86" s="18" t="s">
        <v>327</v>
      </c>
      <c r="L86" s="18" t="s">
        <v>73</v>
      </c>
      <c r="M86" s="18" t="s">
        <v>79</v>
      </c>
      <c r="N86" s="18" t="s">
        <v>62</v>
      </c>
    </row>
    <row r="87" spans="2:14" ht="49.5" customHeight="1">
      <c r="B87" s="16">
        <v>85</v>
      </c>
      <c r="C87" s="17" t="s">
        <v>48</v>
      </c>
      <c r="D87" s="17" t="s">
        <v>40</v>
      </c>
      <c r="E87" s="17" t="s">
        <v>328</v>
      </c>
      <c r="F87" s="17" t="s">
        <v>40</v>
      </c>
      <c r="G87" s="17" t="s">
        <v>40</v>
      </c>
      <c r="H87" s="17" t="s">
        <v>329</v>
      </c>
      <c r="I87" s="17" t="s">
        <v>40</v>
      </c>
      <c r="J87" s="17" t="s">
        <v>330</v>
      </c>
      <c r="K87" s="18" t="s">
        <v>53</v>
      </c>
      <c r="L87" s="18" t="s">
        <v>14</v>
      </c>
      <c r="M87" s="18" t="s">
        <v>46</v>
      </c>
      <c r="N87" s="18" t="s">
        <v>54</v>
      </c>
    </row>
    <row r="88" spans="2:14" ht="49.5" customHeight="1">
      <c r="B88" s="16">
        <v>86</v>
      </c>
      <c r="C88" s="17" t="s">
        <v>331</v>
      </c>
      <c r="D88" s="17" t="s">
        <v>40</v>
      </c>
      <c r="E88" s="17" t="s">
        <v>40</v>
      </c>
      <c r="F88" s="17" t="s">
        <v>40</v>
      </c>
      <c r="G88" s="17" t="s">
        <v>40</v>
      </c>
      <c r="H88" s="17" t="s">
        <v>332</v>
      </c>
      <c r="I88" s="17" t="s">
        <v>40</v>
      </c>
      <c r="J88" s="17" t="s">
        <v>333</v>
      </c>
      <c r="K88" s="18" t="s">
        <v>53</v>
      </c>
      <c r="L88" s="18" t="s">
        <v>14</v>
      </c>
      <c r="M88" s="18" t="s">
        <v>46</v>
      </c>
      <c r="N88" s="18" t="s">
        <v>54</v>
      </c>
    </row>
    <row r="89" spans="2:14" ht="49.5" customHeight="1">
      <c r="B89" s="16">
        <v>87</v>
      </c>
      <c r="C89" s="17" t="s">
        <v>334</v>
      </c>
      <c r="D89" s="17" t="s">
        <v>40</v>
      </c>
      <c r="E89" s="17" t="s">
        <v>40</v>
      </c>
      <c r="F89" s="17" t="s">
        <v>40</v>
      </c>
      <c r="G89" s="17" t="s">
        <v>40</v>
      </c>
      <c r="H89" s="17" t="s">
        <v>335</v>
      </c>
      <c r="I89" s="17" t="s">
        <v>336</v>
      </c>
      <c r="J89" s="17" t="s">
        <v>40</v>
      </c>
      <c r="K89" s="18" t="s">
        <v>312</v>
      </c>
      <c r="L89" s="18" t="s">
        <v>73</v>
      </c>
      <c r="M89" s="18" t="s">
        <v>79</v>
      </c>
      <c r="N89" s="18" t="s">
        <v>62</v>
      </c>
    </row>
    <row r="90" spans="2:14" ht="49.5" customHeight="1">
      <c r="B90" s="16">
        <v>88</v>
      </c>
      <c r="C90" s="17" t="s">
        <v>63</v>
      </c>
      <c r="D90" s="17" t="s">
        <v>40</v>
      </c>
      <c r="E90" s="17" t="s">
        <v>40</v>
      </c>
      <c r="F90" s="17" t="s">
        <v>40</v>
      </c>
      <c r="G90" s="17" t="s">
        <v>40</v>
      </c>
      <c r="H90" s="17" t="s">
        <v>337</v>
      </c>
      <c r="I90" s="17" t="s">
        <v>338</v>
      </c>
      <c r="J90" s="17" t="s">
        <v>40</v>
      </c>
      <c r="K90" s="18" t="s">
        <v>312</v>
      </c>
      <c r="L90" s="18" t="s">
        <v>73</v>
      </c>
      <c r="M90" s="18" t="s">
        <v>79</v>
      </c>
      <c r="N90" s="18" t="s">
        <v>62</v>
      </c>
    </row>
    <row r="91" spans="2:14" ht="49.5" customHeight="1">
      <c r="B91" s="16">
        <v>89</v>
      </c>
      <c r="C91" s="17" t="s">
        <v>63</v>
      </c>
      <c r="D91" s="17" t="s">
        <v>40</v>
      </c>
      <c r="E91" s="17" t="s">
        <v>40</v>
      </c>
      <c r="F91" s="17" t="s">
        <v>40</v>
      </c>
      <c r="G91" s="17" t="s">
        <v>40</v>
      </c>
      <c r="H91" s="17" t="s">
        <v>40</v>
      </c>
      <c r="I91" s="17" t="s">
        <v>339</v>
      </c>
      <c r="J91" s="17" t="s">
        <v>40</v>
      </c>
      <c r="K91" s="18" t="s">
        <v>327</v>
      </c>
      <c r="L91" s="18" t="s">
        <v>73</v>
      </c>
      <c r="M91" s="18" t="s">
        <v>79</v>
      </c>
      <c r="N91" s="18" t="s">
        <v>62</v>
      </c>
    </row>
    <row r="92" spans="2:14" ht="49.5" customHeight="1">
      <c r="B92" s="16">
        <v>90</v>
      </c>
      <c r="C92" s="17" t="s">
        <v>227</v>
      </c>
      <c r="D92" s="17" t="s">
        <v>40</v>
      </c>
      <c r="E92" s="17" t="s">
        <v>40</v>
      </c>
      <c r="F92" s="17" t="s">
        <v>40</v>
      </c>
      <c r="G92" s="17" t="s">
        <v>40</v>
      </c>
      <c r="H92" s="17" t="s">
        <v>340</v>
      </c>
      <c r="I92" s="17" t="s">
        <v>40</v>
      </c>
      <c r="J92" s="17" t="s">
        <v>341</v>
      </c>
      <c r="K92" s="18" t="s">
        <v>53</v>
      </c>
      <c r="L92" s="18" t="s">
        <v>14</v>
      </c>
      <c r="M92" s="18" t="s">
        <v>46</v>
      </c>
      <c r="N92" s="18" t="s">
        <v>54</v>
      </c>
    </row>
    <row r="93" spans="2:14" ht="49.5" customHeight="1">
      <c r="B93" s="16">
        <v>91</v>
      </c>
      <c r="C93" s="17" t="s">
        <v>63</v>
      </c>
      <c r="D93" s="17" t="s">
        <v>40</v>
      </c>
      <c r="E93" s="17" t="s">
        <v>40</v>
      </c>
      <c r="F93" s="17" t="s">
        <v>40</v>
      </c>
      <c r="G93" s="17" t="s">
        <v>40</v>
      </c>
      <c r="H93" s="17" t="s">
        <v>342</v>
      </c>
      <c r="I93" s="17" t="s">
        <v>343</v>
      </c>
      <c r="J93" s="17" t="s">
        <v>344</v>
      </c>
      <c r="K93" s="18" t="s">
        <v>140</v>
      </c>
      <c r="L93" s="18" t="s">
        <v>73</v>
      </c>
      <c r="M93" s="18" t="s">
        <v>79</v>
      </c>
      <c r="N93" s="18" t="s">
        <v>62</v>
      </c>
    </row>
    <row r="94" spans="2:14" ht="49.5" customHeight="1">
      <c r="B94" s="16">
        <v>92</v>
      </c>
      <c r="C94" s="17" t="s">
        <v>237</v>
      </c>
      <c r="D94" s="17" t="s">
        <v>40</v>
      </c>
      <c r="E94" s="17" t="s">
        <v>40</v>
      </c>
      <c r="F94" s="17" t="s">
        <v>40</v>
      </c>
      <c r="G94" s="17" t="s">
        <v>40</v>
      </c>
      <c r="H94" s="17" t="s">
        <v>345</v>
      </c>
      <c r="I94" s="17" t="s">
        <v>40</v>
      </c>
      <c r="J94" s="17" t="s">
        <v>346</v>
      </c>
      <c r="K94" s="18" t="s">
        <v>53</v>
      </c>
      <c r="L94" s="18" t="s">
        <v>14</v>
      </c>
      <c r="M94" s="18" t="s">
        <v>46</v>
      </c>
      <c r="N94" s="18" t="s">
        <v>54</v>
      </c>
    </row>
    <row r="95" spans="2:14" ht="49.5" customHeight="1">
      <c r="B95" s="16">
        <v>93</v>
      </c>
      <c r="C95" s="17" t="s">
        <v>63</v>
      </c>
      <c r="D95" s="17" t="s">
        <v>40</v>
      </c>
      <c r="E95" s="17" t="s">
        <v>40</v>
      </c>
      <c r="F95" s="17" t="s">
        <v>40</v>
      </c>
      <c r="G95" s="17" t="s">
        <v>40</v>
      </c>
      <c r="H95" s="17" t="s">
        <v>347</v>
      </c>
      <c r="I95" s="17" t="s">
        <v>348</v>
      </c>
      <c r="J95" s="17" t="s">
        <v>40</v>
      </c>
      <c r="K95" s="18" t="s">
        <v>140</v>
      </c>
      <c r="L95" s="18" t="s">
        <v>73</v>
      </c>
      <c r="M95" s="18" t="s">
        <v>79</v>
      </c>
      <c r="N95" s="18" t="s">
        <v>62</v>
      </c>
    </row>
    <row r="96" spans="2:14" ht="49.5" customHeight="1">
      <c r="B96" s="16">
        <v>94</v>
      </c>
      <c r="C96" s="17" t="s">
        <v>135</v>
      </c>
      <c r="D96" s="17" t="s">
        <v>40</v>
      </c>
      <c r="E96" s="17" t="s">
        <v>40</v>
      </c>
      <c r="F96" s="17" t="s">
        <v>40</v>
      </c>
      <c r="G96" s="17" t="s">
        <v>40</v>
      </c>
      <c r="H96" s="17" t="s">
        <v>349</v>
      </c>
      <c r="I96" s="17" t="s">
        <v>40</v>
      </c>
      <c r="J96" s="17" t="s">
        <v>350</v>
      </c>
      <c r="K96" s="18" t="s">
        <v>53</v>
      </c>
      <c r="L96" s="18" t="s">
        <v>14</v>
      </c>
      <c r="M96" s="18" t="s">
        <v>46</v>
      </c>
      <c r="N96" s="18" t="s">
        <v>54</v>
      </c>
    </row>
    <row r="97" spans="2:14" ht="49.5" customHeight="1">
      <c r="B97" s="16">
        <v>95</v>
      </c>
      <c r="C97" s="17" t="s">
        <v>63</v>
      </c>
      <c r="D97" s="17" t="s">
        <v>40</v>
      </c>
      <c r="E97" s="17" t="s">
        <v>40</v>
      </c>
      <c r="F97" s="17" t="s">
        <v>40</v>
      </c>
      <c r="G97" s="17" t="s">
        <v>40</v>
      </c>
      <c r="H97" s="17" t="s">
        <v>351</v>
      </c>
      <c r="I97" s="17" t="s">
        <v>352</v>
      </c>
      <c r="J97" s="17" t="s">
        <v>40</v>
      </c>
      <c r="K97" s="18" t="s">
        <v>140</v>
      </c>
      <c r="L97" s="18" t="s">
        <v>73</v>
      </c>
      <c r="M97" s="18" t="s">
        <v>79</v>
      </c>
      <c r="N97" s="18" t="s">
        <v>62</v>
      </c>
    </row>
    <row r="98" spans="2:14" ht="49.5" customHeight="1">
      <c r="B98" s="16">
        <v>96</v>
      </c>
      <c r="C98" s="17" t="s">
        <v>63</v>
      </c>
      <c r="D98" s="17" t="s">
        <v>40</v>
      </c>
      <c r="E98" s="17" t="s">
        <v>40</v>
      </c>
      <c r="F98" s="17" t="s">
        <v>40</v>
      </c>
      <c r="G98" s="17" t="s">
        <v>40</v>
      </c>
      <c r="H98" s="17" t="s">
        <v>342</v>
      </c>
      <c r="I98" s="17" t="s">
        <v>353</v>
      </c>
      <c r="J98" s="17" t="s">
        <v>354</v>
      </c>
      <c r="K98" s="18" t="s">
        <v>140</v>
      </c>
      <c r="L98" s="18" t="s">
        <v>73</v>
      </c>
      <c r="M98" s="18" t="s">
        <v>79</v>
      </c>
      <c r="N98" s="18" t="s">
        <v>62</v>
      </c>
    </row>
    <row r="99" spans="2:14" ht="49.5" customHeight="1">
      <c r="B99" s="16">
        <v>97</v>
      </c>
      <c r="C99" s="17" t="s">
        <v>63</v>
      </c>
      <c r="D99" s="17" t="s">
        <v>40</v>
      </c>
      <c r="E99" s="17" t="s">
        <v>40</v>
      </c>
      <c r="F99" s="17" t="s">
        <v>40</v>
      </c>
      <c r="G99" s="17" t="s">
        <v>40</v>
      </c>
      <c r="H99" s="17" t="s">
        <v>355</v>
      </c>
      <c r="I99" s="17" t="s">
        <v>356</v>
      </c>
      <c r="J99" s="17" t="s">
        <v>40</v>
      </c>
      <c r="K99" s="18" t="s">
        <v>312</v>
      </c>
      <c r="L99" s="18" t="s">
        <v>73</v>
      </c>
      <c r="M99" s="18" t="s">
        <v>79</v>
      </c>
      <c r="N99" s="18" t="s">
        <v>62</v>
      </c>
    </row>
    <row r="100" spans="2:14" ht="49.5" customHeight="1">
      <c r="B100" s="16">
        <v>98</v>
      </c>
      <c r="C100" s="17" t="s">
        <v>63</v>
      </c>
      <c r="D100" s="17" t="s">
        <v>40</v>
      </c>
      <c r="E100" s="17" t="s">
        <v>40</v>
      </c>
      <c r="F100" s="17" t="s">
        <v>40</v>
      </c>
      <c r="G100" s="17" t="s">
        <v>40</v>
      </c>
      <c r="H100" s="17" t="s">
        <v>357</v>
      </c>
      <c r="I100" s="17" t="s">
        <v>358</v>
      </c>
      <c r="J100" s="17" t="s">
        <v>40</v>
      </c>
      <c r="K100" s="18" t="s">
        <v>140</v>
      </c>
      <c r="L100" s="18" t="s">
        <v>73</v>
      </c>
      <c r="M100" s="18" t="s">
        <v>79</v>
      </c>
      <c r="N100" s="18" t="s">
        <v>62</v>
      </c>
    </row>
    <row r="101" spans="2:14" ht="49.5" customHeight="1">
      <c r="B101" s="16">
        <v>99</v>
      </c>
      <c r="C101" s="17" t="s">
        <v>63</v>
      </c>
      <c r="D101" s="17" t="s">
        <v>40</v>
      </c>
      <c r="E101" s="17" t="s">
        <v>40</v>
      </c>
      <c r="F101" s="17" t="s">
        <v>40</v>
      </c>
      <c r="G101" s="17" t="s">
        <v>40</v>
      </c>
      <c r="H101" s="17" t="s">
        <v>359</v>
      </c>
      <c r="I101" s="17" t="s">
        <v>360</v>
      </c>
      <c r="J101" s="17" t="s">
        <v>361</v>
      </c>
      <c r="K101" s="18" t="s">
        <v>140</v>
      </c>
      <c r="L101" s="18" t="s">
        <v>73</v>
      </c>
      <c r="M101" s="18" t="s">
        <v>79</v>
      </c>
      <c r="N101" s="18" t="s">
        <v>62</v>
      </c>
    </row>
    <row r="102" spans="2:14" ht="49.5" customHeight="1">
      <c r="B102" s="16">
        <v>100</v>
      </c>
      <c r="C102" s="17" t="s">
        <v>63</v>
      </c>
      <c r="D102" s="17" t="s">
        <v>40</v>
      </c>
      <c r="E102" s="17" t="s">
        <v>40</v>
      </c>
      <c r="F102" s="17" t="s">
        <v>40</v>
      </c>
      <c r="G102" s="17" t="s">
        <v>40</v>
      </c>
      <c r="H102" s="17" t="s">
        <v>362</v>
      </c>
      <c r="I102" s="17" t="s">
        <v>363</v>
      </c>
      <c r="J102" s="17" t="s">
        <v>40</v>
      </c>
      <c r="K102" s="18" t="s">
        <v>140</v>
      </c>
      <c r="L102" s="18" t="s">
        <v>73</v>
      </c>
      <c r="M102" s="18" t="s">
        <v>79</v>
      </c>
      <c r="N102" s="18" t="s">
        <v>62</v>
      </c>
    </row>
  </sheetData>
  <conditionalFormatting sqref="N2:N102">
    <cfRule type="containsText" dxfId="0" priority="1" operator="containsText" text="Yes — synthetic test valu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vt:lpstr>
      <vt:lpstr>Workflow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FAJAGBE</cp:lastModifiedBy>
  <dcterms:modified xsi:type="dcterms:W3CDTF">2026-09-18T18:59:30Z</dcterms:modified>
</cp:coreProperties>
</file>